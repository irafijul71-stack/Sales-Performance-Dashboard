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download\Data Analytics-Ostad\Assingments\"/>
    </mc:Choice>
  </mc:AlternateContent>
  <xr:revisionPtr revIDLastSave="0" documentId="13_ncr:1_{56E71599-6338-4332-A080-FC541B2D02EF}" xr6:coauthVersionLast="47" xr6:coauthVersionMax="47" xr10:uidLastSave="{00000000-0000-0000-0000-000000000000}"/>
  <bookViews>
    <workbookView xWindow="-110" yWindow="-110" windowWidth="19420" windowHeight="10300" tabRatio="769" activeTab="4" xr2:uid="{EC098102-77EE-4221-9829-ACD4FB83AF3A}"/>
  </bookViews>
  <sheets>
    <sheet name="Sales" sheetId="2" r:id="rId1"/>
    <sheet name="Product" sheetId="1" r:id="rId2"/>
    <sheet name="DAX Measures" sheetId="4" r:id="rId3"/>
    <sheet name="Pivot Table" sheetId="6" r:id="rId4"/>
    <sheet name="Dashboard" sheetId="7" r:id="rId5"/>
  </sheets>
  <definedNames>
    <definedName name="_xlcn.WorksheetConnection_module6businessdashboard.xlsxProduct1" hidden="1">Product[]</definedName>
    <definedName name="_xlcn.WorksheetConnection_module6businessdashboard.xlsxRaw_Data1" hidden="1">Sales[]</definedName>
    <definedName name="ExternalData_1" localSheetId="0" hidden="1">Sales!$A$1:$G$71</definedName>
    <definedName name="Slicer_Order_Date__Month">#N/A</definedName>
    <definedName name="Slicer_Product">#N/A</definedName>
    <definedName name="Slicer_Region">#N/A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_Data" name="Sales" connection="WorksheetConnection_module-6-business-dashboard.xlsx!Raw_Data"/>
          <x15:modelTable id="Product" name="Product" connection="WorksheetConnection_module-6-business-dashboard.xlsx!Product"/>
        </x15:modelTables>
        <x15:modelRelationships>
          <x15:modelRelationship fromTable="Sales" fromColumn="Product ID" toTable="Product" toColumn="Product ID"/>
        </x15:modelRelationships>
        <x15:extLst>
          <ext xmlns:x16="http://schemas.microsoft.com/office/spreadsheetml/2014/11/main" uri="{9835A34E-60A6-4A7C-AAB8-D5F71C897F49}">
            <x16:modelTimeGroupings>
              <x16:modelTimeGrouping tableName="Sale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7" i="6" l="1"/>
  <c r="B16" i="6"/>
  <c r="B14" i="6"/>
  <c r="B1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C8B7B8-2B43-4BBA-8D34-2EBEC45C22F3}"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2" xr16:uid="{B51B022C-E45A-4DBF-8CDC-D938523F2F5F}"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3" xr16:uid="{889086E1-6ABE-4BFB-9430-B095A36FFA7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5466F12B-AC17-41B2-83B2-FAAF7F6EC749}" name="WorksheetConnection_module-6-business-dashboard.xlsx!Product" type="102" refreshedVersion="8" minRefreshableVersion="5">
    <extLst>
      <ext xmlns:x15="http://schemas.microsoft.com/office/spreadsheetml/2010/11/main" uri="{DE250136-89BD-433C-8126-D09CA5730AF9}">
        <x15:connection id="Product">
          <x15:rangePr sourceName="_xlcn.WorksheetConnection_module6businessdashboard.xlsxProduct1"/>
        </x15:connection>
      </ext>
    </extLst>
  </connection>
  <connection id="5" xr16:uid="{DC5D7D4C-6759-40CF-AFC1-77EDFB6329F6}" name="WorksheetConnection_module-6-business-dashboard.xlsx!Raw_Data" type="102" refreshedVersion="8" minRefreshableVersion="5">
    <extLst>
      <ext xmlns:x15="http://schemas.microsoft.com/office/spreadsheetml/2010/11/main" uri="{DE250136-89BD-433C-8126-D09CA5730AF9}">
        <x15:connection id="Raw_Data">
          <x15:rangePr sourceName="_xlcn.WorksheetConnection_module6businessdashboard.xlsxRaw_Data1"/>
        </x15:connection>
      </ext>
    </extLst>
  </connection>
</connections>
</file>

<file path=xl/sharedStrings.xml><?xml version="1.0" encoding="utf-8"?>
<sst xmlns="http://schemas.openxmlformats.org/spreadsheetml/2006/main" count="368" uniqueCount="62">
  <si>
    <t>Order Date</t>
  </si>
  <si>
    <t>Region</t>
  </si>
  <si>
    <t>Product</t>
  </si>
  <si>
    <t>Quantity</t>
  </si>
  <si>
    <t>Sales Amount</t>
  </si>
  <si>
    <t>West</t>
  </si>
  <si>
    <t>Charlotte</t>
  </si>
  <si>
    <t>Keyboard</t>
  </si>
  <si>
    <t>South</t>
  </si>
  <si>
    <t>Sarah</t>
  </si>
  <si>
    <t>Mouse</t>
  </si>
  <si>
    <t>East</t>
  </si>
  <si>
    <t>Noah</t>
  </si>
  <si>
    <t>Webcam</t>
  </si>
  <si>
    <t>Ava</t>
  </si>
  <si>
    <t>Monitor</t>
  </si>
  <si>
    <t>Daniel</t>
  </si>
  <si>
    <t>Printer</t>
  </si>
  <si>
    <t>Laptop</t>
  </si>
  <si>
    <t>North</t>
  </si>
  <si>
    <t>Liam</t>
  </si>
  <si>
    <t>David</t>
  </si>
  <si>
    <t>Mia</t>
  </si>
  <si>
    <t>Michael</t>
  </si>
  <si>
    <t>Headset</t>
  </si>
  <si>
    <t>Olivia</t>
  </si>
  <si>
    <t>Sophia</t>
  </si>
  <si>
    <t>John</t>
  </si>
  <si>
    <t>Tablet</t>
  </si>
  <si>
    <t>Emma</t>
  </si>
  <si>
    <t>James</t>
  </si>
  <si>
    <t>Product ID</t>
  </si>
  <si>
    <t>Category</t>
  </si>
  <si>
    <t>Standard Price</t>
  </si>
  <si>
    <t>P001</t>
  </si>
  <si>
    <t>Electronics</t>
  </si>
  <si>
    <t>P002</t>
  </si>
  <si>
    <t>Accessories</t>
  </si>
  <si>
    <t>P003</t>
  </si>
  <si>
    <t>P004</t>
  </si>
  <si>
    <t>P005</t>
  </si>
  <si>
    <t>Office Equipment</t>
  </si>
  <si>
    <t>P006</t>
  </si>
  <si>
    <t>P007</t>
  </si>
  <si>
    <t>P008</t>
  </si>
  <si>
    <t>Customer Name</t>
  </si>
  <si>
    <t>Product Name</t>
  </si>
  <si>
    <t>Grand Total</t>
  </si>
  <si>
    <t>Sum of Sales Amount</t>
  </si>
  <si>
    <t>Total Sales</t>
  </si>
  <si>
    <t>Total Quantity Sold</t>
  </si>
  <si>
    <t>Average Sales per Order</t>
  </si>
  <si>
    <t>Jan</t>
  </si>
  <si>
    <t>Feb</t>
  </si>
  <si>
    <t>Mar</t>
  </si>
  <si>
    <t>Apr</t>
  </si>
  <si>
    <t>May</t>
  </si>
  <si>
    <t>Months</t>
  </si>
  <si>
    <t>Total Sold Quantity</t>
  </si>
  <si>
    <t>Number of Product Categories</t>
  </si>
  <si>
    <t>Total Sales2</t>
  </si>
  <si>
    <t>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</si>
</sst>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43" fontId="0" fillId="0" borderId="0" xfId="0" applyNumberFormat="1"/>
    <xf numFmtId="14" fontId="0" fillId="0" borderId="0" xfId="0" applyNumberFormat="1" applyAlignment="1">
      <alignment horizontal="center" vertical="center"/>
    </xf>
    <xf numFmtId="10" fontId="0" fillId="0" borderId="0" xfId="0" applyNumberFormat="1"/>
    <xf numFmtId="2" fontId="0" fillId="0" borderId="0" xfId="0" applyNumberFormat="1"/>
    <xf numFmtId="1" fontId="0" fillId="0" borderId="0" xfId="0" applyNumberFormat="1"/>
    <xf numFmtId="0" fontId="0" fillId="2" borderId="0" xfId="0" applyFill="1"/>
  </cellXfs>
  <cellStyles count="1">
    <cellStyle name="Normal" xfId="0" builtinId="0"/>
  </cellStyles>
  <dxfs count="14">
    <dxf>
      <numFmt numFmtId="35" formatCode="_(* #,##0.00_);_(* \(#,##0.00\);_(* &quot;-&quot;??_);_(@_)"/>
    </dxf>
    <dxf>
      <numFmt numFmtId="1" formatCode="0"/>
    </dxf>
    <dxf>
      <numFmt numFmtId="35" formatCode="_(* #,##0.00_);_(* \(#,##0.00\);_(* &quot;-&quot;??_);_(@_)"/>
    </dxf>
    <dxf>
      <numFmt numFmtId="35" formatCode="_(* #,##0.00_);_(* \(#,##0.00\);_(* &quot;-&quot;??_);_(@_)"/>
    </dxf>
    <dxf>
      <numFmt numFmtId="0" formatCode="Genera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right/>
        <top/>
        <bottom/>
        <vertical/>
        <horizontal/>
      </border>
    </dxf>
    <dxf>
      <font>
        <b/>
        <i val="0"/>
        <color theme="0"/>
      </font>
      <fill>
        <patternFill>
          <fgColor theme="6" tint="-0.24994659260841701"/>
          <bgColor theme="0"/>
        </patternFill>
      </fill>
      <border>
        <left style="thin">
          <color theme="0"/>
        </left>
        <right style="thin">
          <color theme="0"/>
        </right>
        <top style="thin">
          <color theme="0"/>
        </top>
        <bottom style="thin">
          <color theme="0"/>
        </bottom>
      </border>
    </dxf>
  </dxfs>
  <tableStyles count="2" defaultTableStyle="TableStyleMedium2" defaultPivotStyle="PivotStyleLight16">
    <tableStyle name="Slicer Style 1" pivot="0" table="0" count="2" xr9:uid="{B527D2F1-3F22-404F-BC71-E6157214A3FE}">
      <tableStyleElement type="wholeTable" dxfId="13"/>
    </tableStyle>
    <tableStyle name="Slicer Style 2" pivot="0" table="0" count="1" xr9:uid="{4A93D078-BFB2-4E12-A272-914175AFFB9E}">
      <tableStyleElement type="wholeTable" dxfId="12"/>
    </tableStyle>
  </tableStyle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[Sales-Performance-Dashboard.xlsx]Pivot Table!Product wise Sale</c:name>
    <c:fmtId val="31"/>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6">
                <a:lumMod val="75000"/>
              </a:schemeClr>
            </a:solidFill>
            <a:ln>
              <a:noFill/>
            </a:ln>
            <a:effectLst/>
          </c:spPr>
          <c:invertIfNegative val="0"/>
          <c:cat>
            <c:strRef>
              <c:f>'Pivot Table'!$D$4:$D$12</c:f>
              <c:strCache>
                <c:ptCount val="8"/>
                <c:pt idx="0">
                  <c:v>Mouse</c:v>
                </c:pt>
                <c:pt idx="1">
                  <c:v>Webcam</c:v>
                </c:pt>
                <c:pt idx="2">
                  <c:v>Headset</c:v>
                </c:pt>
                <c:pt idx="3">
                  <c:v>Keyboard</c:v>
                </c:pt>
                <c:pt idx="4">
                  <c:v>Tablet</c:v>
                </c:pt>
                <c:pt idx="5">
                  <c:v>Monitor</c:v>
                </c:pt>
                <c:pt idx="6">
                  <c:v>Printer</c:v>
                </c:pt>
                <c:pt idx="7">
                  <c:v>Laptop</c:v>
                </c:pt>
              </c:strCache>
            </c:strRef>
          </c:cat>
          <c:val>
            <c:numRef>
              <c:f>'Pivot Table'!$E$4:$E$12</c:f>
              <c:numCache>
                <c:formatCode>General</c:formatCode>
                <c:ptCount val="8"/>
                <c:pt idx="0">
                  <c:v>1680</c:v>
                </c:pt>
                <c:pt idx="1">
                  <c:v>1800</c:v>
                </c:pt>
                <c:pt idx="2">
                  <c:v>2320</c:v>
                </c:pt>
                <c:pt idx="3">
                  <c:v>2450</c:v>
                </c:pt>
                <c:pt idx="4">
                  <c:v>6300</c:v>
                </c:pt>
                <c:pt idx="5">
                  <c:v>9250</c:v>
                </c:pt>
                <c:pt idx="6">
                  <c:v>12780</c:v>
                </c:pt>
                <c:pt idx="7">
                  <c:v>57600</c:v>
                </c:pt>
              </c:numCache>
            </c:numRef>
          </c:val>
          <c:extLst>
            <c:ext xmlns:c16="http://schemas.microsoft.com/office/drawing/2014/chart" uri="{C3380CC4-5D6E-409C-BE32-E72D297353CC}">
              <c16:uniqueId val="{00000000-9F1E-4E50-8859-E930D0144A9D}"/>
            </c:ext>
          </c:extLst>
        </c:ser>
        <c:dLbls>
          <c:showLegendKey val="0"/>
          <c:showVal val="0"/>
          <c:showCatName val="0"/>
          <c:showSerName val="0"/>
          <c:showPercent val="0"/>
          <c:showBubbleSize val="0"/>
        </c:dLbls>
        <c:gapWidth val="182"/>
        <c:axId val="494119968"/>
        <c:axId val="494125248"/>
      </c:barChart>
      <c:catAx>
        <c:axId val="49411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4125248"/>
        <c:crosses val="autoZero"/>
        <c:auto val="1"/>
        <c:lblAlgn val="ctr"/>
        <c:lblOffset val="100"/>
        <c:noMultiLvlLbl val="0"/>
      </c:catAx>
      <c:valAx>
        <c:axId val="494125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411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[Sales-Performance-Dashboard.xlsx]Pivot Table!Months wise Sale</c:name>
    <c:fmtId val="4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3841711950873"/>
          <c:y val="0.12099983803171287"/>
          <c:w val="0.71895151656589862"/>
          <c:h val="0.67969948386683265"/>
        </c:manualLayout>
      </c:layout>
      <c:barChart>
        <c:barDir val="col"/>
        <c:grouping val="clustered"/>
        <c:varyColors val="0"/>
        <c:ser>
          <c:idx val="0"/>
          <c:order val="0"/>
          <c:tx>
            <c:strRef>
              <c:f>'Pivot Table'!$I$3</c:f>
              <c:strCache>
                <c:ptCount val="1"/>
                <c:pt idx="0">
                  <c:v>Total Sales</c:v>
                </c:pt>
              </c:strCache>
            </c:strRef>
          </c:tx>
          <c:spPr>
            <a:solidFill>
              <a:schemeClr val="accent6">
                <a:lumMod val="75000"/>
              </a:schemeClr>
            </a:solidFill>
            <a:ln>
              <a:noFill/>
            </a:ln>
            <a:effectLst/>
          </c:spPr>
          <c:invertIfNegative val="0"/>
          <c:cat>
            <c:strRef>
              <c:f>'Pivot Table'!$H$4:$H$9</c:f>
              <c:strCache>
                <c:ptCount val="5"/>
                <c:pt idx="0">
                  <c:v>Jan</c:v>
                </c:pt>
                <c:pt idx="1">
                  <c:v>Feb</c:v>
                </c:pt>
                <c:pt idx="2">
                  <c:v>Mar</c:v>
                </c:pt>
                <c:pt idx="3">
                  <c:v>Apr</c:v>
                </c:pt>
                <c:pt idx="4">
                  <c:v>May</c:v>
                </c:pt>
              </c:strCache>
            </c:strRef>
          </c:cat>
          <c:val>
            <c:numRef>
              <c:f>'Pivot Table'!$I$4:$I$9</c:f>
              <c:numCache>
                <c:formatCode>General</c:formatCode>
                <c:ptCount val="5"/>
                <c:pt idx="0">
                  <c:v>25690</c:v>
                </c:pt>
                <c:pt idx="1">
                  <c:v>10590</c:v>
                </c:pt>
                <c:pt idx="2">
                  <c:v>12600</c:v>
                </c:pt>
                <c:pt idx="3">
                  <c:v>17540</c:v>
                </c:pt>
                <c:pt idx="4">
                  <c:v>27760</c:v>
                </c:pt>
              </c:numCache>
            </c:numRef>
          </c:val>
          <c:extLst>
            <c:ext xmlns:c16="http://schemas.microsoft.com/office/drawing/2014/chart" uri="{C3380CC4-5D6E-409C-BE32-E72D297353CC}">
              <c16:uniqueId val="{00000000-038B-46F7-8D3E-F07119122056}"/>
            </c:ext>
          </c:extLst>
        </c:ser>
        <c:dLbls>
          <c:showLegendKey val="0"/>
          <c:showVal val="0"/>
          <c:showCatName val="0"/>
          <c:showSerName val="0"/>
          <c:showPercent val="0"/>
          <c:showBubbleSize val="0"/>
        </c:dLbls>
        <c:gapWidth val="219"/>
        <c:overlap val="-27"/>
        <c:axId val="938989199"/>
        <c:axId val="939005999"/>
      </c:barChart>
      <c:lineChart>
        <c:grouping val="standard"/>
        <c:varyColors val="0"/>
        <c:ser>
          <c:idx val="1"/>
          <c:order val="1"/>
          <c:tx>
            <c:strRef>
              <c:f>'Pivot Table'!$J$3</c:f>
              <c:strCache>
                <c:ptCount val="1"/>
                <c:pt idx="0">
                  <c:v>Total Sales2</c:v>
                </c:pt>
              </c:strCache>
            </c:strRef>
          </c:tx>
          <c:spPr>
            <a:ln w="28575" cap="rnd">
              <a:solidFill>
                <a:schemeClr val="accent6">
                  <a:lumMod val="50000"/>
                </a:schemeClr>
              </a:solidFill>
              <a:round/>
            </a:ln>
            <a:effectLst/>
          </c:spPr>
          <c:marker>
            <c:symbol val="none"/>
          </c:marker>
          <c:cat>
            <c:strRef>
              <c:f>'Pivot Table'!$H$4:$H$9</c:f>
              <c:strCache>
                <c:ptCount val="5"/>
                <c:pt idx="0">
                  <c:v>Jan</c:v>
                </c:pt>
                <c:pt idx="1">
                  <c:v>Feb</c:v>
                </c:pt>
                <c:pt idx="2">
                  <c:v>Mar</c:v>
                </c:pt>
                <c:pt idx="3">
                  <c:v>Apr</c:v>
                </c:pt>
                <c:pt idx="4">
                  <c:v>May</c:v>
                </c:pt>
              </c:strCache>
            </c:strRef>
          </c:cat>
          <c:val>
            <c:numRef>
              <c:f>'Pivot Table'!$J$4:$J$9</c:f>
              <c:numCache>
                <c:formatCode>0.00%</c:formatCode>
                <c:ptCount val="5"/>
                <c:pt idx="0">
                  <c:v>0.27277553620726269</c:v>
                </c:pt>
                <c:pt idx="1">
                  <c:v>0.1124442556806116</c:v>
                </c:pt>
                <c:pt idx="2">
                  <c:v>0.13378636653217243</c:v>
                </c:pt>
                <c:pt idx="3">
                  <c:v>0.18623911658526227</c:v>
                </c:pt>
                <c:pt idx="4">
                  <c:v>0.29475472499469102</c:v>
                </c:pt>
              </c:numCache>
            </c:numRef>
          </c:val>
          <c:smooth val="1"/>
          <c:extLst>
            <c:ext xmlns:c16="http://schemas.microsoft.com/office/drawing/2014/chart" uri="{C3380CC4-5D6E-409C-BE32-E72D297353CC}">
              <c16:uniqueId val="{00000001-038B-46F7-8D3E-F07119122056}"/>
            </c:ext>
          </c:extLst>
        </c:ser>
        <c:dLbls>
          <c:showLegendKey val="0"/>
          <c:showVal val="0"/>
          <c:showCatName val="0"/>
          <c:showSerName val="0"/>
          <c:showPercent val="0"/>
          <c:showBubbleSize val="0"/>
        </c:dLbls>
        <c:marker val="1"/>
        <c:smooth val="0"/>
        <c:axId val="938970479"/>
        <c:axId val="938986319"/>
      </c:lineChart>
      <c:catAx>
        <c:axId val="93898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9005999"/>
        <c:crosses val="autoZero"/>
        <c:auto val="1"/>
        <c:lblAlgn val="ctr"/>
        <c:lblOffset val="100"/>
        <c:noMultiLvlLbl val="0"/>
      </c:catAx>
      <c:valAx>
        <c:axId val="939005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8989199"/>
        <c:crosses val="autoZero"/>
        <c:crossBetween val="between"/>
      </c:valAx>
      <c:valAx>
        <c:axId val="93898631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8970479"/>
        <c:crosses val="max"/>
        <c:crossBetween val="between"/>
      </c:valAx>
      <c:catAx>
        <c:axId val="938970479"/>
        <c:scaling>
          <c:orientation val="minMax"/>
        </c:scaling>
        <c:delete val="1"/>
        <c:axPos val="b"/>
        <c:numFmt formatCode="General" sourceLinked="1"/>
        <c:majorTickMark val="out"/>
        <c:minorTickMark val="none"/>
        <c:tickLblPos val="nextTo"/>
        <c:crossAx val="9389863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[Sales-Performance-Dashboard.xlsx]Pivot Table!Region wise Sale</c:name>
    <c:fmtId val="5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7557492851257692"/>
          <c:y val="1.5451309001961686E-2"/>
          <c:w val="0.42597800602081604"/>
          <c:h val="0.78773855908744295"/>
        </c:manualLayout>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49-443E-B0BD-B63D4AF622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49-443E-B0BD-B63D4AF622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49-443E-B0BD-B63D4AF622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49-443E-B0BD-B63D4AF62227}"/>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23950</c:v>
                </c:pt>
                <c:pt idx="1">
                  <c:v>29060</c:v>
                </c:pt>
                <c:pt idx="2">
                  <c:v>20690</c:v>
                </c:pt>
                <c:pt idx="3">
                  <c:v>20480</c:v>
                </c:pt>
              </c:numCache>
            </c:numRef>
          </c:val>
          <c:extLst>
            <c:ext xmlns:c16="http://schemas.microsoft.com/office/drawing/2014/chart" uri="{C3380CC4-5D6E-409C-BE32-E72D297353CC}">
              <c16:uniqueId val="{00000008-1249-443E-B0BD-B63D4AF62227}"/>
            </c:ext>
          </c:extLst>
        </c:ser>
        <c:dLbls>
          <c:showLegendKey val="0"/>
          <c:showVal val="0"/>
          <c:showCatName val="0"/>
          <c:showSerName val="0"/>
          <c:showPercent val="0"/>
          <c:showBubbleSize val="0"/>
          <c:showLeaderLines val="0"/>
        </c:dLbls>
        <c:firstSliceAng val="28"/>
        <c:holeSize val="4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368011</xdr:colOff>
      <xdr:row>46</xdr:row>
      <xdr:rowOff>43295</xdr:rowOff>
    </xdr:to>
    <xdr:sp macro="" textlink="">
      <xdr:nvSpPr>
        <xdr:cNvPr id="66" name="Rectangle 65">
          <a:extLst>
            <a:ext uri="{FF2B5EF4-FFF2-40B4-BE49-F238E27FC236}">
              <a16:creationId xmlns:a16="http://schemas.microsoft.com/office/drawing/2014/main" id="{26C938DE-642E-AC23-C4C1-0E4BB988DA56}"/>
            </a:ext>
          </a:extLst>
        </xdr:cNvPr>
        <xdr:cNvSpPr/>
      </xdr:nvSpPr>
      <xdr:spPr>
        <a:xfrm>
          <a:off x="0" y="0"/>
          <a:ext cx="16733693" cy="8673522"/>
        </a:xfrm>
        <a:prstGeom prst="rect">
          <a:avLst/>
        </a:prstGeom>
        <a:gradFill>
          <a:gsLst>
            <a:gs pos="0">
              <a:schemeClr val="bg2"/>
            </a:gs>
            <a:gs pos="100000">
              <a:schemeClr val="bg1"/>
            </a:gs>
            <a:gs pos="37000">
              <a:schemeClr val="accent6">
                <a:lumMod val="40000"/>
                <a:lumOff val="6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434687</xdr:colOff>
      <xdr:row>0</xdr:row>
      <xdr:rowOff>21647</xdr:rowOff>
    </xdr:from>
    <xdr:to>
      <xdr:col>17</xdr:col>
      <xdr:colOff>259773</xdr:colOff>
      <xdr:row>4</xdr:row>
      <xdr:rowOff>5483</xdr:rowOff>
    </xdr:to>
    <xdr:sp macro="" textlink="">
      <xdr:nvSpPr>
        <xdr:cNvPr id="3" name="Rectangle: Rounded Corners 2">
          <a:extLst>
            <a:ext uri="{FF2B5EF4-FFF2-40B4-BE49-F238E27FC236}">
              <a16:creationId xmlns:a16="http://schemas.microsoft.com/office/drawing/2014/main" id="{FBF9041B-1B69-7ECF-C96D-C3C577A4E120}"/>
            </a:ext>
          </a:extLst>
        </xdr:cNvPr>
        <xdr:cNvSpPr/>
      </xdr:nvSpPr>
      <xdr:spPr>
        <a:xfrm>
          <a:off x="4071505" y="21647"/>
          <a:ext cx="6492586" cy="734291"/>
        </a:xfrm>
        <a:prstGeom prst="roundRect">
          <a:avLst/>
        </a:prstGeom>
        <a:solidFill>
          <a:schemeClr val="accent6">
            <a:lumMod val="50000"/>
          </a:schemeClr>
        </a:solidFill>
        <a:ln>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t>  Sales Performance Dashboard</a:t>
          </a:r>
        </a:p>
      </xdr:txBody>
    </xdr:sp>
    <xdr:clientData/>
  </xdr:twoCellAnchor>
  <xdr:twoCellAnchor>
    <xdr:from>
      <xdr:col>6</xdr:col>
      <xdr:colOff>457008</xdr:colOff>
      <xdr:row>4</xdr:row>
      <xdr:rowOff>95794</xdr:rowOff>
    </xdr:from>
    <xdr:to>
      <xdr:col>9</xdr:col>
      <xdr:colOff>210224</xdr:colOff>
      <xdr:row>8</xdr:row>
      <xdr:rowOff>82314</xdr:rowOff>
    </xdr:to>
    <xdr:sp macro="" textlink="">
      <xdr:nvSpPr>
        <xdr:cNvPr id="4" name="Rectangle: Rounded Corners 3">
          <a:extLst>
            <a:ext uri="{FF2B5EF4-FFF2-40B4-BE49-F238E27FC236}">
              <a16:creationId xmlns:a16="http://schemas.microsoft.com/office/drawing/2014/main" id="{2B7144C4-DF21-E940-5B97-79F68E937600}"/>
            </a:ext>
          </a:extLst>
        </xdr:cNvPr>
        <xdr:cNvSpPr/>
      </xdr:nvSpPr>
      <xdr:spPr>
        <a:xfrm>
          <a:off x="4097675" y="829572"/>
          <a:ext cx="1573549" cy="720298"/>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15</xdr:col>
      <xdr:colOff>22611</xdr:colOff>
      <xdr:row>4</xdr:row>
      <xdr:rowOff>74467</xdr:rowOff>
    </xdr:from>
    <xdr:to>
      <xdr:col>17</xdr:col>
      <xdr:colOff>261056</xdr:colOff>
      <xdr:row>8</xdr:row>
      <xdr:rowOff>93807</xdr:rowOff>
    </xdr:to>
    <xdr:sp macro="" textlink="">
      <xdr:nvSpPr>
        <xdr:cNvPr id="5" name="Rectangle: Rounded Corners 4">
          <a:extLst>
            <a:ext uri="{FF2B5EF4-FFF2-40B4-BE49-F238E27FC236}">
              <a16:creationId xmlns:a16="http://schemas.microsoft.com/office/drawing/2014/main" id="{0A1D5A37-8810-4BE5-8709-1B206774864D}"/>
            </a:ext>
          </a:extLst>
        </xdr:cNvPr>
        <xdr:cNvSpPr/>
      </xdr:nvSpPr>
      <xdr:spPr>
        <a:xfrm>
          <a:off x="9124278" y="808245"/>
          <a:ext cx="1452000" cy="753118"/>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117187</xdr:colOff>
      <xdr:row>4</xdr:row>
      <xdr:rowOff>110548</xdr:rowOff>
    </xdr:from>
    <xdr:to>
      <xdr:col>14</xdr:col>
      <xdr:colOff>513774</xdr:colOff>
      <xdr:row>8</xdr:row>
      <xdr:rowOff>76146</xdr:rowOff>
    </xdr:to>
    <xdr:sp macro="" textlink="">
      <xdr:nvSpPr>
        <xdr:cNvPr id="6" name="Rectangle: Rounded Corners 5">
          <a:extLst>
            <a:ext uri="{FF2B5EF4-FFF2-40B4-BE49-F238E27FC236}">
              <a16:creationId xmlns:a16="http://schemas.microsoft.com/office/drawing/2014/main" id="{574E2CCE-88E6-4836-AF21-F3F1237CD5F6}"/>
            </a:ext>
          </a:extLst>
        </xdr:cNvPr>
        <xdr:cNvSpPr/>
      </xdr:nvSpPr>
      <xdr:spPr>
        <a:xfrm>
          <a:off x="7398520" y="844326"/>
          <a:ext cx="1610143" cy="699376"/>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9</xdr:col>
      <xdr:colOff>305345</xdr:colOff>
      <xdr:row>4</xdr:row>
      <xdr:rowOff>110547</xdr:rowOff>
    </xdr:from>
    <xdr:to>
      <xdr:col>12</xdr:col>
      <xdr:colOff>14688</xdr:colOff>
      <xdr:row>8</xdr:row>
      <xdr:rowOff>90093</xdr:rowOff>
    </xdr:to>
    <xdr:sp macro="" textlink="">
      <xdr:nvSpPr>
        <xdr:cNvPr id="7" name="Rectangle: Rounded Corners 6">
          <a:extLst>
            <a:ext uri="{FF2B5EF4-FFF2-40B4-BE49-F238E27FC236}">
              <a16:creationId xmlns:a16="http://schemas.microsoft.com/office/drawing/2014/main" id="{83291F18-95D0-40E4-AD70-06C7730667CA}"/>
            </a:ext>
          </a:extLst>
        </xdr:cNvPr>
        <xdr:cNvSpPr/>
      </xdr:nvSpPr>
      <xdr:spPr>
        <a:xfrm>
          <a:off x="5766345" y="844325"/>
          <a:ext cx="1529676" cy="713324"/>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533976</xdr:colOff>
      <xdr:row>8</xdr:row>
      <xdr:rowOff>180397</xdr:rowOff>
    </xdr:from>
    <xdr:to>
      <xdr:col>17</xdr:col>
      <xdr:colOff>266988</xdr:colOff>
      <xdr:row>18</xdr:row>
      <xdr:rowOff>137102</xdr:rowOff>
    </xdr:to>
    <xdr:sp macro="" textlink="">
      <xdr:nvSpPr>
        <xdr:cNvPr id="8" name="Rectangle: Rounded Corners 7">
          <a:extLst>
            <a:ext uri="{FF2B5EF4-FFF2-40B4-BE49-F238E27FC236}">
              <a16:creationId xmlns:a16="http://schemas.microsoft.com/office/drawing/2014/main" id="{F594D1AD-63E6-BD34-CBE1-BC77AAF8A6ED}"/>
            </a:ext>
          </a:extLst>
        </xdr:cNvPr>
        <xdr:cNvSpPr/>
      </xdr:nvSpPr>
      <xdr:spPr>
        <a:xfrm>
          <a:off x="7807612" y="1681306"/>
          <a:ext cx="2763694" cy="1832841"/>
        </a:xfrm>
        <a:prstGeom prst="roundRect">
          <a:avLst>
            <a:gd name="adj" fmla="val 3721"/>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i="0" baseline="0">
              <a:solidFill>
                <a:schemeClr val="tx1"/>
              </a:solidFill>
            </a:rPr>
            <a:t>Regional Sales Distribution</a:t>
          </a:r>
          <a:endParaRPr lang="en-US" sz="1400" b="1" i="0" baseline="0">
            <a:solidFill>
              <a:schemeClr val="tx1"/>
            </a:solidFill>
            <a:effectLst/>
          </a:endParaRPr>
        </a:p>
      </xdr:txBody>
    </xdr:sp>
    <xdr:clientData/>
  </xdr:twoCellAnchor>
  <xdr:twoCellAnchor>
    <xdr:from>
      <xdr:col>3</xdr:col>
      <xdr:colOff>533977</xdr:colOff>
      <xdr:row>0</xdr:row>
      <xdr:rowOff>14433</xdr:rowOff>
    </xdr:from>
    <xdr:to>
      <xdr:col>6</xdr:col>
      <xdr:colOff>382444</xdr:colOff>
      <xdr:row>27</xdr:row>
      <xdr:rowOff>72159</xdr:rowOff>
    </xdr:to>
    <xdr:sp macro="" textlink="">
      <xdr:nvSpPr>
        <xdr:cNvPr id="11" name="Rectangle: Rounded Corners 10">
          <a:extLst>
            <a:ext uri="{FF2B5EF4-FFF2-40B4-BE49-F238E27FC236}">
              <a16:creationId xmlns:a16="http://schemas.microsoft.com/office/drawing/2014/main" id="{AED2FC1A-199B-E47B-EFB8-9BB4C950429D}"/>
            </a:ext>
          </a:extLst>
        </xdr:cNvPr>
        <xdr:cNvSpPr/>
      </xdr:nvSpPr>
      <xdr:spPr>
        <a:xfrm>
          <a:off x="2352386" y="14433"/>
          <a:ext cx="1666876" cy="5123294"/>
        </a:xfrm>
        <a:prstGeom prst="roundRect">
          <a:avLst>
            <a:gd name="adj" fmla="val 7207"/>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461819</xdr:colOff>
      <xdr:row>9</xdr:row>
      <xdr:rowOff>865</xdr:rowOff>
    </xdr:from>
    <xdr:to>
      <xdr:col>12</xdr:col>
      <xdr:colOff>476249</xdr:colOff>
      <xdr:row>18</xdr:row>
      <xdr:rowOff>137102</xdr:rowOff>
    </xdr:to>
    <xdr:sp macro="" textlink="">
      <xdr:nvSpPr>
        <xdr:cNvPr id="13" name="Rectangle: Rounded Corners 12">
          <a:extLst>
            <a:ext uri="{FF2B5EF4-FFF2-40B4-BE49-F238E27FC236}">
              <a16:creationId xmlns:a16="http://schemas.microsoft.com/office/drawing/2014/main" id="{46A5A5B9-2615-24C9-C45F-74ACF0396414}"/>
            </a:ext>
          </a:extLst>
        </xdr:cNvPr>
        <xdr:cNvSpPr/>
      </xdr:nvSpPr>
      <xdr:spPr>
        <a:xfrm>
          <a:off x="4098637" y="1689388"/>
          <a:ext cx="3651248" cy="1824759"/>
        </a:xfrm>
        <a:prstGeom prst="roundRect">
          <a:avLst>
            <a:gd name="adj" fmla="val 4988"/>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1"/>
              </a:solidFill>
            </a:rPr>
            <a:t>Top Sales by </a:t>
          </a:r>
          <a:r>
            <a:rPr lang="en-US" sz="1400" b="1" i="0" baseline="0">
              <a:solidFill>
                <a:schemeClr val="tx1"/>
              </a:solidFill>
              <a:latin typeface="+mn-lt"/>
              <a:ea typeface="+mn-ea"/>
              <a:cs typeface="+mn-cs"/>
            </a:rPr>
            <a:t>Product</a:t>
          </a:r>
        </a:p>
      </xdr:txBody>
    </xdr:sp>
    <xdr:clientData/>
  </xdr:twoCellAnchor>
  <xdr:twoCellAnchor>
    <xdr:from>
      <xdr:col>6</xdr:col>
      <xdr:colOff>454604</xdr:colOff>
      <xdr:row>19</xdr:row>
      <xdr:rowOff>21648</xdr:rowOff>
    </xdr:from>
    <xdr:to>
      <xdr:col>17</xdr:col>
      <xdr:colOff>281421</xdr:colOff>
      <xdr:row>27</xdr:row>
      <xdr:rowOff>72159</xdr:rowOff>
    </xdr:to>
    <xdr:sp macro="" textlink="">
      <xdr:nvSpPr>
        <xdr:cNvPr id="14" name="Rectangle: Rounded Corners 13">
          <a:extLst>
            <a:ext uri="{FF2B5EF4-FFF2-40B4-BE49-F238E27FC236}">
              <a16:creationId xmlns:a16="http://schemas.microsoft.com/office/drawing/2014/main" id="{23D38046-0A16-4BDF-89BB-2E8202C15F35}"/>
            </a:ext>
          </a:extLst>
        </xdr:cNvPr>
        <xdr:cNvSpPr/>
      </xdr:nvSpPr>
      <xdr:spPr>
        <a:xfrm>
          <a:off x="4091422" y="3586307"/>
          <a:ext cx="6494317" cy="1551420"/>
        </a:xfrm>
        <a:prstGeom prst="roundRect">
          <a:avLst>
            <a:gd name="adj" fmla="val 5983"/>
          </a:avLst>
        </a:prstGeom>
        <a:solidFill>
          <a:schemeClr val="bg1"/>
        </a:solidFill>
        <a:ln>
          <a:solidFill>
            <a:schemeClr val="bg2">
              <a:alpha val="91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baseline="0">
              <a:solidFill>
                <a:schemeClr val="tx1"/>
              </a:solidFill>
              <a:latin typeface="+mn-lt"/>
              <a:ea typeface="+mn-ea"/>
              <a:cs typeface="+mn-cs"/>
            </a:rPr>
            <a:t>Monthly</a:t>
          </a:r>
          <a:r>
            <a:rPr lang="en-US" sz="1400" b="1"/>
            <a:t> </a:t>
          </a:r>
          <a:r>
            <a:rPr lang="en-US" sz="1400" b="1" baseline="0">
              <a:solidFill>
                <a:schemeClr val="tx1"/>
              </a:solidFill>
              <a:latin typeface="+mn-lt"/>
              <a:ea typeface="+mn-ea"/>
              <a:cs typeface="+mn-cs"/>
            </a:rPr>
            <a:t>Sales</a:t>
          </a:r>
          <a:r>
            <a:rPr lang="en-US" sz="1400" b="1"/>
            <a:t> </a:t>
          </a:r>
          <a:r>
            <a:rPr lang="en-US" sz="1400" b="1" baseline="0">
              <a:solidFill>
                <a:schemeClr val="tx1"/>
              </a:solidFill>
              <a:latin typeface="+mn-lt"/>
              <a:ea typeface="+mn-ea"/>
              <a:cs typeface="+mn-cs"/>
            </a:rPr>
            <a:t>Performance</a:t>
          </a:r>
        </a:p>
      </xdr:txBody>
    </xdr:sp>
    <xdr:clientData/>
  </xdr:twoCellAnchor>
  <xdr:twoCellAnchor>
    <xdr:from>
      <xdr:col>7</xdr:col>
      <xdr:colOff>0</xdr:colOff>
      <xdr:row>10</xdr:row>
      <xdr:rowOff>151534</xdr:rowOff>
    </xdr:from>
    <xdr:to>
      <xdr:col>12</xdr:col>
      <xdr:colOff>360796</xdr:colOff>
      <xdr:row>18</xdr:row>
      <xdr:rowOff>79375</xdr:rowOff>
    </xdr:to>
    <xdr:graphicFrame macro="">
      <xdr:nvGraphicFramePr>
        <xdr:cNvPr id="18" name="Chart 17">
          <a:extLst>
            <a:ext uri="{FF2B5EF4-FFF2-40B4-BE49-F238E27FC236}">
              <a16:creationId xmlns:a16="http://schemas.microsoft.com/office/drawing/2014/main" id="{8A9DE87F-B382-4E2A-B776-A81686563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476251</xdr:colOff>
      <xdr:row>20</xdr:row>
      <xdr:rowOff>158749</xdr:rowOff>
    </xdr:from>
    <xdr:to>
      <xdr:col>17</xdr:col>
      <xdr:colOff>202046</xdr:colOff>
      <xdr:row>27</xdr:row>
      <xdr:rowOff>7215</xdr:rowOff>
    </xdr:to>
    <xdr:graphicFrame macro="">
      <xdr:nvGraphicFramePr>
        <xdr:cNvPr id="2" name="Chart 1">
          <a:extLst>
            <a:ext uri="{FF2B5EF4-FFF2-40B4-BE49-F238E27FC236}">
              <a16:creationId xmlns:a16="http://schemas.microsoft.com/office/drawing/2014/main" id="{C7FB67E7-8026-4462-812E-EFA39029E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197556</xdr:colOff>
      <xdr:row>4</xdr:row>
      <xdr:rowOff>77612</xdr:rowOff>
    </xdr:from>
    <xdr:to>
      <xdr:col>9</xdr:col>
      <xdr:colOff>86591</xdr:colOff>
      <xdr:row>6</xdr:row>
      <xdr:rowOff>56445</xdr:rowOff>
    </xdr:to>
    <xdr:sp macro="" textlink="">
      <xdr:nvSpPr>
        <xdr:cNvPr id="20" name="TextBox 19">
          <a:extLst>
            <a:ext uri="{FF2B5EF4-FFF2-40B4-BE49-F238E27FC236}">
              <a16:creationId xmlns:a16="http://schemas.microsoft.com/office/drawing/2014/main" id="{C8B057B0-5AAC-4F3C-BD4D-D4FF51BB1B6F}"/>
            </a:ext>
          </a:extLst>
        </xdr:cNvPr>
        <xdr:cNvSpPr txBox="1"/>
      </xdr:nvSpPr>
      <xdr:spPr>
        <a:xfrm>
          <a:off x="4445000" y="811390"/>
          <a:ext cx="1102591" cy="345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tx1"/>
              </a:solidFill>
              <a:effectLst/>
            </a:rPr>
            <a:t>Total Sales</a:t>
          </a:r>
        </a:p>
      </xdr:txBody>
    </xdr:sp>
    <xdr:clientData/>
  </xdr:twoCellAnchor>
  <xdr:twoCellAnchor>
    <xdr:from>
      <xdr:col>9</xdr:col>
      <xdr:colOff>352778</xdr:colOff>
      <xdr:row>4</xdr:row>
      <xdr:rowOff>88900</xdr:rowOff>
    </xdr:from>
    <xdr:to>
      <xdr:col>11</xdr:col>
      <xdr:colOff>543277</xdr:colOff>
      <xdr:row>6</xdr:row>
      <xdr:rowOff>38388</xdr:rowOff>
    </xdr:to>
    <xdr:sp macro="" textlink="">
      <xdr:nvSpPr>
        <xdr:cNvPr id="21" name="TextBox 20">
          <a:extLst>
            <a:ext uri="{FF2B5EF4-FFF2-40B4-BE49-F238E27FC236}">
              <a16:creationId xmlns:a16="http://schemas.microsoft.com/office/drawing/2014/main" id="{370DA209-C217-4930-AE18-806F0398090D}"/>
            </a:ext>
          </a:extLst>
        </xdr:cNvPr>
        <xdr:cNvSpPr txBox="1"/>
      </xdr:nvSpPr>
      <xdr:spPr>
        <a:xfrm>
          <a:off x="5813778" y="822678"/>
          <a:ext cx="1404055" cy="316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tx1"/>
              </a:solidFill>
            </a:rPr>
            <a:t> Total Sold Quantity</a:t>
          </a:r>
        </a:p>
      </xdr:txBody>
    </xdr:sp>
    <xdr:clientData/>
  </xdr:twoCellAnchor>
  <xdr:twoCellAnchor>
    <xdr:from>
      <xdr:col>12</xdr:col>
      <xdr:colOff>137103</xdr:colOff>
      <xdr:row>4</xdr:row>
      <xdr:rowOff>88901</xdr:rowOff>
    </xdr:from>
    <xdr:to>
      <xdr:col>15</xdr:col>
      <xdr:colOff>21648</xdr:colOff>
      <xdr:row>6</xdr:row>
      <xdr:rowOff>28863</xdr:rowOff>
    </xdr:to>
    <xdr:sp macro="" textlink="">
      <xdr:nvSpPr>
        <xdr:cNvPr id="22" name="TextBox 21">
          <a:extLst>
            <a:ext uri="{FF2B5EF4-FFF2-40B4-BE49-F238E27FC236}">
              <a16:creationId xmlns:a16="http://schemas.microsoft.com/office/drawing/2014/main" id="{FE41DF86-1463-4247-80B6-8BF30C9AEE51}"/>
            </a:ext>
          </a:extLst>
        </xdr:cNvPr>
        <xdr:cNvSpPr txBox="1"/>
      </xdr:nvSpPr>
      <xdr:spPr>
        <a:xfrm>
          <a:off x="7410739" y="839356"/>
          <a:ext cx="1702954" cy="315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Average Sales per Order</a:t>
          </a:r>
        </a:p>
      </xdr:txBody>
    </xdr:sp>
    <xdr:clientData/>
  </xdr:twoCellAnchor>
  <xdr:twoCellAnchor>
    <xdr:from>
      <xdr:col>15</xdr:col>
      <xdr:colOff>56444</xdr:colOff>
      <xdr:row>4</xdr:row>
      <xdr:rowOff>101022</xdr:rowOff>
    </xdr:from>
    <xdr:to>
      <xdr:col>17</xdr:col>
      <xdr:colOff>268111</xdr:colOff>
      <xdr:row>6</xdr:row>
      <xdr:rowOff>21648</xdr:rowOff>
    </xdr:to>
    <xdr:sp macro="" textlink="">
      <xdr:nvSpPr>
        <xdr:cNvPr id="23" name="TextBox 22">
          <a:extLst>
            <a:ext uri="{FF2B5EF4-FFF2-40B4-BE49-F238E27FC236}">
              <a16:creationId xmlns:a16="http://schemas.microsoft.com/office/drawing/2014/main" id="{D6868284-2BB8-42CC-A72B-D994545482AD}"/>
            </a:ext>
          </a:extLst>
        </xdr:cNvPr>
        <xdr:cNvSpPr txBox="1"/>
      </xdr:nvSpPr>
      <xdr:spPr>
        <a:xfrm>
          <a:off x="9158111" y="834800"/>
          <a:ext cx="1425222" cy="28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Product Categories</a:t>
          </a:r>
        </a:p>
      </xdr:txBody>
    </xdr:sp>
    <xdr:clientData/>
  </xdr:twoCellAnchor>
  <xdr:twoCellAnchor>
    <xdr:from>
      <xdr:col>16</xdr:col>
      <xdr:colOff>360796</xdr:colOff>
      <xdr:row>6</xdr:row>
      <xdr:rowOff>144317</xdr:rowOff>
    </xdr:from>
    <xdr:to>
      <xdr:col>17</xdr:col>
      <xdr:colOff>86591</xdr:colOff>
      <xdr:row>8</xdr:row>
      <xdr:rowOff>28863</xdr:rowOff>
    </xdr:to>
    <xdr:sp macro="" textlink="'Pivot Table'!B17">
      <xdr:nvSpPr>
        <xdr:cNvPr id="27" name="TextBox 26">
          <a:extLst>
            <a:ext uri="{FF2B5EF4-FFF2-40B4-BE49-F238E27FC236}">
              <a16:creationId xmlns:a16="http://schemas.microsoft.com/office/drawing/2014/main" id="{40B20350-21BC-4DD5-BA6A-33E2E5E24854}"/>
            </a:ext>
          </a:extLst>
        </xdr:cNvPr>
        <xdr:cNvSpPr txBox="1"/>
      </xdr:nvSpPr>
      <xdr:spPr>
        <a:xfrm>
          <a:off x="10058978" y="1269999"/>
          <a:ext cx="331931" cy="259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1AC01D-D29B-4E98-B83C-CEA5038540ED}" type="TxLink">
            <a:rPr lang="en-US" sz="1400" b="0" i="0" u="none" strike="noStrike">
              <a:solidFill>
                <a:srgbClr val="000000"/>
              </a:solidFill>
              <a:latin typeface="Aptos Narrow"/>
            </a:rPr>
            <a:pPr algn="ctr"/>
            <a:t>3</a:t>
          </a:fld>
          <a:endParaRPr lang="en-US" sz="1800" b="1">
            <a:solidFill>
              <a:schemeClr val="bg1"/>
            </a:solidFill>
          </a:endParaRPr>
        </a:p>
      </xdr:txBody>
    </xdr:sp>
    <xdr:clientData/>
  </xdr:twoCellAnchor>
  <xdr:twoCellAnchor>
    <xdr:from>
      <xdr:col>13</xdr:col>
      <xdr:colOff>303068</xdr:colOff>
      <xdr:row>6</xdr:row>
      <xdr:rowOff>115453</xdr:rowOff>
    </xdr:from>
    <xdr:to>
      <xdr:col>15</xdr:col>
      <xdr:colOff>7215</xdr:colOff>
      <xdr:row>7</xdr:row>
      <xdr:rowOff>180397</xdr:rowOff>
    </xdr:to>
    <xdr:sp macro="" textlink="'Pivot Table'!B16">
      <xdr:nvSpPr>
        <xdr:cNvPr id="28" name="TextBox 27">
          <a:extLst>
            <a:ext uri="{FF2B5EF4-FFF2-40B4-BE49-F238E27FC236}">
              <a16:creationId xmlns:a16="http://schemas.microsoft.com/office/drawing/2014/main" id="{522DE5ED-D9AD-4AC3-84E7-B83BA3F7085D}"/>
            </a:ext>
          </a:extLst>
        </xdr:cNvPr>
        <xdr:cNvSpPr txBox="1"/>
      </xdr:nvSpPr>
      <xdr:spPr>
        <a:xfrm>
          <a:off x="8182841" y="1241135"/>
          <a:ext cx="916419" cy="252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C60B19-2B76-4A39-A656-3F48D8A8F35A}" type="TxLink">
            <a:rPr lang="en-US" sz="1400" b="0" i="0" u="none" strike="noStrike">
              <a:solidFill>
                <a:srgbClr val="000000"/>
              </a:solidFill>
              <a:latin typeface="Aptos Narrow"/>
            </a:rPr>
            <a:pPr algn="ctr"/>
            <a:t>1411.30</a:t>
          </a:fld>
          <a:endParaRPr lang="en-US" sz="1800" b="1">
            <a:solidFill>
              <a:schemeClr val="bg1"/>
            </a:solidFill>
          </a:endParaRPr>
        </a:p>
      </xdr:txBody>
    </xdr:sp>
    <xdr:clientData/>
  </xdr:twoCellAnchor>
  <xdr:twoCellAnchor>
    <xdr:from>
      <xdr:col>10</xdr:col>
      <xdr:colOff>355599</xdr:colOff>
      <xdr:row>6</xdr:row>
      <xdr:rowOff>132196</xdr:rowOff>
    </xdr:from>
    <xdr:to>
      <xdr:col>12</xdr:col>
      <xdr:colOff>117473</xdr:colOff>
      <xdr:row>8</xdr:row>
      <xdr:rowOff>1</xdr:rowOff>
    </xdr:to>
    <xdr:sp macro="" textlink="'Pivot Table'!B15">
      <xdr:nvSpPr>
        <xdr:cNvPr id="29" name="TextBox 28">
          <a:extLst>
            <a:ext uri="{FF2B5EF4-FFF2-40B4-BE49-F238E27FC236}">
              <a16:creationId xmlns:a16="http://schemas.microsoft.com/office/drawing/2014/main" id="{7B38DFAC-934D-4BC3-88EF-8C97269F67E2}"/>
            </a:ext>
          </a:extLst>
        </xdr:cNvPr>
        <xdr:cNvSpPr txBox="1"/>
      </xdr:nvSpPr>
      <xdr:spPr>
        <a:xfrm>
          <a:off x="6416963" y="1257878"/>
          <a:ext cx="974146" cy="243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210600-069A-4C39-982D-AD28EB75578D}" type="TxLink">
            <a:rPr lang="en-US" sz="1400" b="0" i="0" u="none" strike="noStrike">
              <a:solidFill>
                <a:srgbClr val="000000"/>
              </a:solidFill>
              <a:latin typeface="Aptos Narrow"/>
            </a:rPr>
            <a:pPr algn="ctr"/>
            <a:t>336</a:t>
          </a:fld>
          <a:endParaRPr lang="en-US" sz="1800" b="1">
            <a:solidFill>
              <a:schemeClr val="bg1"/>
            </a:solidFill>
          </a:endParaRPr>
        </a:p>
      </xdr:txBody>
    </xdr:sp>
    <xdr:clientData/>
  </xdr:twoCellAnchor>
  <xdr:twoCellAnchor>
    <xdr:from>
      <xdr:col>8</xdr:col>
      <xdr:colOff>144318</xdr:colOff>
      <xdr:row>6</xdr:row>
      <xdr:rowOff>72158</xdr:rowOff>
    </xdr:from>
    <xdr:to>
      <xdr:col>9</xdr:col>
      <xdr:colOff>93807</xdr:colOff>
      <xdr:row>8</xdr:row>
      <xdr:rowOff>101023</xdr:rowOff>
    </xdr:to>
    <xdr:sp macro="" textlink="'Pivot Table'!B14">
      <xdr:nvSpPr>
        <xdr:cNvPr id="30" name="TextBox 29">
          <a:extLst>
            <a:ext uri="{FF2B5EF4-FFF2-40B4-BE49-F238E27FC236}">
              <a16:creationId xmlns:a16="http://schemas.microsoft.com/office/drawing/2014/main" id="{6AEB9C59-C6DD-4753-8032-DDC0CF51A3F5}"/>
            </a:ext>
          </a:extLst>
        </xdr:cNvPr>
        <xdr:cNvSpPr txBox="1"/>
      </xdr:nvSpPr>
      <xdr:spPr>
        <a:xfrm>
          <a:off x="4993409" y="1197840"/>
          <a:ext cx="555625" cy="404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17B7AC-B0DF-4325-9ADA-7EDF29F8DE2D}" type="TxLink">
            <a:rPr lang="en-US" sz="1400" b="0" i="0" u="none" strike="noStrike">
              <a:solidFill>
                <a:schemeClr val="tx1">
                  <a:alpha val="87000"/>
                </a:schemeClr>
              </a:solidFill>
              <a:effectLst>
                <a:outerShdw blurRad="50800" dist="50800" dir="5400000" sx="1000" sy="1000" algn="ctr" rotWithShape="0">
                  <a:srgbClr val="000000">
                    <a:alpha val="99000"/>
                  </a:srgbClr>
                </a:outerShdw>
                <a:reflection endPos="0" dist="152400" dir="5400000" sy="-100000" algn="bl" rotWithShape="0"/>
              </a:effectLst>
              <a:latin typeface="Aptos Narrow"/>
            </a:rPr>
            <a:pPr algn="ctr"/>
            <a:t>94180</a:t>
          </a:fld>
          <a:endParaRPr lang="en-US" sz="1800" b="1">
            <a:solidFill>
              <a:schemeClr val="tx1">
                <a:alpha val="87000"/>
              </a:schemeClr>
            </a:solidFill>
            <a:effectLst>
              <a:outerShdw blurRad="50800" dist="50800" dir="5400000" sx="1000" sy="1000" algn="ctr" rotWithShape="0">
                <a:srgbClr val="000000">
                  <a:alpha val="99000"/>
                </a:srgbClr>
              </a:outerShdw>
              <a:reflection endPos="0" dist="152400" dir="5400000" sy="-100000" algn="bl" rotWithShape="0"/>
            </a:effectLst>
          </a:endParaRPr>
        </a:p>
      </xdr:txBody>
    </xdr:sp>
    <xdr:clientData/>
  </xdr:twoCellAnchor>
  <xdr:twoCellAnchor editAs="oneCell">
    <xdr:from>
      <xdr:col>3</xdr:col>
      <xdr:colOff>606135</xdr:colOff>
      <xdr:row>4</xdr:row>
      <xdr:rowOff>0</xdr:rowOff>
    </xdr:from>
    <xdr:to>
      <xdr:col>6</xdr:col>
      <xdr:colOff>353579</xdr:colOff>
      <xdr:row>9</xdr:row>
      <xdr:rowOff>43296</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E156C68E-2361-4AD7-8A8F-B6B688541C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24544" y="750455"/>
              <a:ext cx="1565853" cy="981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7215</xdr:colOff>
      <xdr:row>9</xdr:row>
      <xdr:rowOff>108239</xdr:rowOff>
    </xdr:from>
    <xdr:to>
      <xdr:col>6</xdr:col>
      <xdr:colOff>339148</xdr:colOff>
      <xdr:row>17</xdr:row>
      <xdr:rowOff>137102</xdr:rowOff>
    </xdr:to>
    <mc:AlternateContent xmlns:mc="http://schemas.openxmlformats.org/markup-compatibility/2006" xmlns:a14="http://schemas.microsoft.com/office/drawing/2010/main">
      <mc:Choice Requires="a14">
        <xdr:graphicFrame macro="">
          <xdr:nvGraphicFramePr>
            <xdr:cNvPr id="33" name="Product">
              <a:extLst>
                <a:ext uri="{FF2B5EF4-FFF2-40B4-BE49-F238E27FC236}">
                  <a16:creationId xmlns:a16="http://schemas.microsoft.com/office/drawing/2014/main" id="{4C85BD8A-E77E-48FE-8067-F0D348D606A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31760" y="1796762"/>
              <a:ext cx="1544206" cy="1529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591705</xdr:colOff>
      <xdr:row>18</xdr:row>
      <xdr:rowOff>7217</xdr:rowOff>
    </xdr:from>
    <xdr:to>
      <xdr:col>6</xdr:col>
      <xdr:colOff>339148</xdr:colOff>
      <xdr:row>24</xdr:row>
      <xdr:rowOff>137102</xdr:rowOff>
    </xdr:to>
    <mc:AlternateContent xmlns:mc="http://schemas.openxmlformats.org/markup-compatibility/2006" xmlns:a14="http://schemas.microsoft.com/office/drawing/2010/main">
      <mc:Choice Requires="a14">
        <xdr:graphicFrame macro="">
          <xdr:nvGraphicFramePr>
            <xdr:cNvPr id="35" name="Order Date (Month)">
              <a:extLst>
                <a:ext uri="{FF2B5EF4-FFF2-40B4-BE49-F238E27FC236}">
                  <a16:creationId xmlns:a16="http://schemas.microsoft.com/office/drawing/2014/main" id="{0B43F681-5722-4CFC-98D0-1E9AC254D517}"/>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2410114" y="3384262"/>
              <a:ext cx="1565852" cy="125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598920</xdr:colOff>
      <xdr:row>10</xdr:row>
      <xdr:rowOff>137103</xdr:rowOff>
    </xdr:from>
    <xdr:to>
      <xdr:col>17</xdr:col>
      <xdr:colOff>209262</xdr:colOff>
      <xdr:row>18</xdr:row>
      <xdr:rowOff>79374</xdr:rowOff>
    </xdr:to>
    <xdr:graphicFrame macro="">
      <xdr:nvGraphicFramePr>
        <xdr:cNvPr id="15" name="Chart 14">
          <a:extLst>
            <a:ext uri="{FF2B5EF4-FFF2-40B4-BE49-F238E27FC236}">
              <a16:creationId xmlns:a16="http://schemas.microsoft.com/office/drawing/2014/main" id="{2D36D94F-1F0A-400D-9E77-FFF13CA04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266535</xdr:colOff>
      <xdr:row>5</xdr:row>
      <xdr:rowOff>151079</xdr:rowOff>
    </xdr:from>
    <xdr:to>
      <xdr:col>13</xdr:col>
      <xdr:colOff>101022</xdr:colOff>
      <xdr:row>8</xdr:row>
      <xdr:rowOff>64942</xdr:rowOff>
    </xdr:to>
    <xdr:pic>
      <xdr:nvPicPr>
        <xdr:cNvPr id="42" name="Graphic 41" descr="Upward trend outline">
          <a:extLst>
            <a:ext uri="{FF2B5EF4-FFF2-40B4-BE49-F238E27FC236}">
              <a16:creationId xmlns:a16="http://schemas.microsoft.com/office/drawing/2014/main" id="{ED615E6C-7A5E-7AA0-9BFD-C18D30A41AC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540171" y="1089147"/>
          <a:ext cx="440624" cy="476704"/>
        </a:xfrm>
        <a:prstGeom prst="rect">
          <a:avLst/>
        </a:prstGeom>
      </xdr:spPr>
    </xdr:pic>
    <xdr:clientData/>
  </xdr:twoCellAnchor>
  <xdr:twoCellAnchor>
    <xdr:from>
      <xdr:col>15</xdr:col>
      <xdr:colOff>181082</xdr:colOff>
      <xdr:row>6</xdr:row>
      <xdr:rowOff>136631</xdr:rowOff>
    </xdr:from>
    <xdr:to>
      <xdr:col>15</xdr:col>
      <xdr:colOff>432955</xdr:colOff>
      <xdr:row>8</xdr:row>
      <xdr:rowOff>0</xdr:rowOff>
    </xdr:to>
    <xdr:grpSp>
      <xdr:nvGrpSpPr>
        <xdr:cNvPr id="51" name="Graphic 33" descr="Hamburger Menu Icon outline">
          <a:extLst>
            <a:ext uri="{FF2B5EF4-FFF2-40B4-BE49-F238E27FC236}">
              <a16:creationId xmlns:a16="http://schemas.microsoft.com/office/drawing/2014/main" id="{8F0AFFA9-263D-796D-9127-4EAA44D27C51}"/>
            </a:ext>
          </a:extLst>
        </xdr:cNvPr>
        <xdr:cNvGrpSpPr/>
      </xdr:nvGrpSpPr>
      <xdr:grpSpPr>
        <a:xfrm>
          <a:off x="9282749" y="1237298"/>
          <a:ext cx="251873" cy="230258"/>
          <a:chOff x="938752" y="2294188"/>
          <a:chExt cx="704850" cy="476250"/>
        </a:xfrm>
        <a:noFill/>
      </xdr:grpSpPr>
      <xdr:sp macro="" textlink="">
        <xdr:nvSpPr>
          <xdr:cNvPr id="52" name="Rectangle 51">
            <a:extLst>
              <a:ext uri="{FF2B5EF4-FFF2-40B4-BE49-F238E27FC236}">
                <a16:creationId xmlns:a16="http://schemas.microsoft.com/office/drawing/2014/main" id="{5F4762A6-496E-7D52-391F-30C20AC452A8}"/>
              </a:ext>
            </a:extLst>
          </xdr:cNvPr>
          <xdr:cNvSpPr/>
        </xdr:nvSpPr>
        <xdr:spPr>
          <a:xfrm>
            <a:off x="938752" y="2294188"/>
            <a:ext cx="704850" cy="19050"/>
          </a:xfrm>
          <a:prstGeom prst="rect">
            <a:avLst/>
          </a:prstGeom>
          <a:ln/>
        </xdr:spPr>
        <xdr:style>
          <a:lnRef idx="1">
            <a:schemeClr val="accent3"/>
          </a:lnRef>
          <a:fillRef idx="3">
            <a:schemeClr val="accent3"/>
          </a:fillRef>
          <a:effectRef idx="2">
            <a:schemeClr val="accent3"/>
          </a:effectRef>
          <a:fontRef idx="minor">
            <a:schemeClr val="lt1"/>
          </a:fontRef>
        </xdr:style>
      </xdr:sp>
      <xdr:sp macro="" textlink="">
        <xdr:nvSpPr>
          <xdr:cNvPr id="53" name="Rectangle 52">
            <a:extLst>
              <a:ext uri="{FF2B5EF4-FFF2-40B4-BE49-F238E27FC236}">
                <a16:creationId xmlns:a16="http://schemas.microsoft.com/office/drawing/2014/main" id="{87495B62-58CA-0243-964E-944E773E9E29}"/>
              </a:ext>
            </a:extLst>
          </xdr:cNvPr>
          <xdr:cNvSpPr/>
        </xdr:nvSpPr>
        <xdr:spPr>
          <a:xfrm>
            <a:off x="938752" y="2522788"/>
            <a:ext cx="704850" cy="19050"/>
          </a:xfrm>
          <a:prstGeom prst="rect">
            <a:avLst/>
          </a:prstGeom>
          <a:ln/>
        </xdr:spPr>
        <xdr:style>
          <a:lnRef idx="1">
            <a:schemeClr val="accent3"/>
          </a:lnRef>
          <a:fillRef idx="3">
            <a:schemeClr val="accent3"/>
          </a:fillRef>
          <a:effectRef idx="2">
            <a:schemeClr val="accent3"/>
          </a:effectRef>
          <a:fontRef idx="minor">
            <a:schemeClr val="lt1"/>
          </a:fontRef>
        </xdr:style>
      </xdr:sp>
      <xdr:sp macro="" textlink="">
        <xdr:nvSpPr>
          <xdr:cNvPr id="54" name="Rectangle 53">
            <a:extLst>
              <a:ext uri="{FF2B5EF4-FFF2-40B4-BE49-F238E27FC236}">
                <a16:creationId xmlns:a16="http://schemas.microsoft.com/office/drawing/2014/main" id="{C2E705A2-0F25-EEC9-1CE1-45007C2E9FB8}"/>
              </a:ext>
            </a:extLst>
          </xdr:cNvPr>
          <xdr:cNvSpPr/>
        </xdr:nvSpPr>
        <xdr:spPr>
          <a:xfrm>
            <a:off x="938752" y="2751388"/>
            <a:ext cx="704850" cy="19050"/>
          </a:xfrm>
          <a:prstGeom prst="rect">
            <a:avLst/>
          </a:prstGeom>
          <a:ln/>
        </xdr:spPr>
        <xdr:style>
          <a:lnRef idx="1">
            <a:schemeClr val="accent3"/>
          </a:lnRef>
          <a:fillRef idx="3">
            <a:schemeClr val="accent3"/>
          </a:fillRef>
          <a:effectRef idx="2">
            <a:schemeClr val="accent3"/>
          </a:effectRef>
          <a:fontRef idx="minor">
            <a:schemeClr val="lt1"/>
          </a:fontRef>
        </xdr:style>
      </xdr:sp>
    </xdr:grpSp>
    <xdr:clientData/>
  </xdr:twoCellAnchor>
  <xdr:twoCellAnchor editAs="oneCell">
    <xdr:from>
      <xdr:col>9</xdr:col>
      <xdr:colOff>396875</xdr:colOff>
      <xdr:row>6</xdr:row>
      <xdr:rowOff>7216</xdr:rowOff>
    </xdr:from>
    <xdr:to>
      <xdr:col>10</xdr:col>
      <xdr:colOff>209260</xdr:colOff>
      <xdr:row>8</xdr:row>
      <xdr:rowOff>50511</xdr:rowOff>
    </xdr:to>
    <xdr:pic>
      <xdr:nvPicPr>
        <xdr:cNvPr id="57" name="Graphic 56" descr="Shopping cart outline">
          <a:extLst>
            <a:ext uri="{FF2B5EF4-FFF2-40B4-BE49-F238E27FC236}">
              <a16:creationId xmlns:a16="http://schemas.microsoft.com/office/drawing/2014/main" id="{574717B4-6C85-F7F4-AD9D-625EF0078CA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52102" y="1132898"/>
          <a:ext cx="418522" cy="418522"/>
        </a:xfrm>
        <a:prstGeom prst="rect">
          <a:avLst/>
        </a:prstGeom>
      </xdr:spPr>
    </xdr:pic>
    <xdr:clientData/>
  </xdr:twoCellAnchor>
  <xdr:twoCellAnchor>
    <xdr:from>
      <xdr:col>7</xdr:col>
      <xdr:colOff>15873</xdr:colOff>
      <xdr:row>5</xdr:row>
      <xdr:rowOff>168275</xdr:rowOff>
    </xdr:from>
    <xdr:to>
      <xdr:col>7</xdr:col>
      <xdr:colOff>256836</xdr:colOff>
      <xdr:row>8</xdr:row>
      <xdr:rowOff>9525</xdr:rowOff>
    </xdr:to>
    <xdr:sp macro="" textlink="">
      <xdr:nvSpPr>
        <xdr:cNvPr id="64" name="Graphic 58" descr="Dollar with solid fill">
          <a:extLst>
            <a:ext uri="{FF2B5EF4-FFF2-40B4-BE49-F238E27FC236}">
              <a16:creationId xmlns:a16="http://schemas.microsoft.com/office/drawing/2014/main" id="{2216D6C5-9C7F-4901-B966-E775BCA50531}"/>
            </a:ext>
          </a:extLst>
        </xdr:cNvPr>
        <xdr:cNvSpPr/>
      </xdr:nvSpPr>
      <xdr:spPr>
        <a:xfrm>
          <a:off x="4258828" y="1106343"/>
          <a:ext cx="240963" cy="404091"/>
        </a:xfrm>
        <a:custGeom>
          <a:avLst/>
          <a:gdLst>
            <a:gd name="csX0" fmla="*/ 328041 w 379845"/>
            <a:gd name="csY0" fmla="*/ 428625 h 819150"/>
            <a:gd name="csX1" fmla="*/ 214408 w 379845"/>
            <a:gd name="csY1" fmla="*/ 375952 h 819150"/>
            <a:gd name="csX2" fmla="*/ 214408 w 379845"/>
            <a:gd name="csY2" fmla="*/ 145637 h 819150"/>
            <a:gd name="csX3" fmla="*/ 315944 w 379845"/>
            <a:gd name="csY3" fmla="*/ 193929 h 819150"/>
            <a:gd name="csX4" fmla="*/ 361664 w 379845"/>
            <a:gd name="csY4" fmla="*/ 150114 h 819150"/>
            <a:gd name="csX5" fmla="*/ 214408 w 379845"/>
            <a:gd name="csY5" fmla="*/ 82772 h 819150"/>
            <a:gd name="csX6" fmla="*/ 214408 w 379845"/>
            <a:gd name="csY6" fmla="*/ 0 h 819150"/>
            <a:gd name="csX7" fmla="*/ 157258 w 379845"/>
            <a:gd name="csY7" fmla="*/ 0 h 819150"/>
            <a:gd name="csX8" fmla="*/ 157258 w 379845"/>
            <a:gd name="csY8" fmla="*/ 86392 h 819150"/>
            <a:gd name="csX9" fmla="*/ 101251 w 379845"/>
            <a:gd name="csY9" fmla="*/ 106394 h 819150"/>
            <a:gd name="csX10" fmla="*/ 21812 w 379845"/>
            <a:gd name="csY10" fmla="*/ 315944 h 819150"/>
            <a:gd name="csX11" fmla="*/ 157258 w 379845"/>
            <a:gd name="csY11" fmla="*/ 422815 h 819150"/>
            <a:gd name="csX12" fmla="*/ 157258 w 379845"/>
            <a:gd name="csY12" fmla="*/ 672179 h 819150"/>
            <a:gd name="csX13" fmla="*/ 45720 w 379845"/>
            <a:gd name="csY13" fmla="*/ 609600 h 819150"/>
            <a:gd name="csX14" fmla="*/ 0 w 379845"/>
            <a:gd name="csY14" fmla="*/ 653320 h 819150"/>
            <a:gd name="csX15" fmla="*/ 76676 w 379845"/>
            <a:gd name="csY15" fmla="*/ 714375 h 819150"/>
            <a:gd name="csX16" fmla="*/ 157258 w 379845"/>
            <a:gd name="csY16" fmla="*/ 735616 h 819150"/>
            <a:gd name="csX17" fmla="*/ 157258 w 379845"/>
            <a:gd name="csY17" fmla="*/ 819150 h 819150"/>
            <a:gd name="csX18" fmla="*/ 214408 w 379845"/>
            <a:gd name="csY18" fmla="*/ 819150 h 819150"/>
            <a:gd name="csX19" fmla="*/ 214408 w 379845"/>
            <a:gd name="csY19" fmla="*/ 733425 h 819150"/>
            <a:gd name="csX20" fmla="*/ 366046 w 379845"/>
            <a:gd name="csY20" fmla="*/ 619125 h 819150"/>
            <a:gd name="csX21" fmla="*/ 328041 w 379845"/>
            <a:gd name="csY21" fmla="*/ 428625 h 819150"/>
            <a:gd name="csX22" fmla="*/ 109633 w 379845"/>
            <a:gd name="csY22" fmla="*/ 330803 h 819150"/>
            <a:gd name="csX23" fmla="*/ 125539 w 379845"/>
            <a:gd name="csY23" fmla="*/ 165640 h 819150"/>
            <a:gd name="csX24" fmla="*/ 157258 w 379845"/>
            <a:gd name="csY24" fmla="*/ 151067 h 819150"/>
            <a:gd name="csX25" fmla="*/ 157258 w 379845"/>
            <a:gd name="csY25" fmla="*/ 357664 h 819150"/>
            <a:gd name="csX26" fmla="*/ 109633 w 379845"/>
            <a:gd name="csY26" fmla="*/ 330803 h 819150"/>
            <a:gd name="csX27" fmla="*/ 281940 w 379845"/>
            <a:gd name="csY27" fmla="*/ 633889 h 819150"/>
            <a:gd name="csX28" fmla="*/ 214408 w 379845"/>
            <a:gd name="csY28" fmla="*/ 669608 h 819150"/>
            <a:gd name="csX29" fmla="*/ 214408 w 379845"/>
            <a:gd name="csY29" fmla="*/ 442055 h 819150"/>
            <a:gd name="csX30" fmla="*/ 311753 w 379845"/>
            <a:gd name="csY30" fmla="*/ 512255 h 819150"/>
            <a:gd name="csX31" fmla="*/ 281940 w 379845"/>
            <a:gd name="csY31" fmla="*/ 633889 h 8191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Lst>
          <a:rect l="l" t="t" r="r" b="b"/>
          <a:pathLst>
            <a:path w="379845" h="819150">
              <a:moveTo>
                <a:pt x="328041" y="428625"/>
              </a:moveTo>
              <a:cubicBezTo>
                <a:pt x="295847" y="401193"/>
                <a:pt x="254032" y="388334"/>
                <a:pt x="214408" y="375952"/>
              </a:cubicBezTo>
              <a:lnTo>
                <a:pt x="214408" y="145637"/>
              </a:lnTo>
              <a:cubicBezTo>
                <a:pt x="252879" y="149293"/>
                <a:pt x="288831" y="166392"/>
                <a:pt x="315944" y="193929"/>
              </a:cubicBezTo>
              <a:lnTo>
                <a:pt x="361664" y="150114"/>
              </a:lnTo>
              <a:cubicBezTo>
                <a:pt x="322537" y="110312"/>
                <a:pt x="270107" y="86335"/>
                <a:pt x="214408" y="82772"/>
              </a:cubicBezTo>
              <a:lnTo>
                <a:pt x="214408" y="0"/>
              </a:lnTo>
              <a:lnTo>
                <a:pt x="157258" y="0"/>
              </a:lnTo>
              <a:lnTo>
                <a:pt x="157258" y="86392"/>
              </a:lnTo>
              <a:cubicBezTo>
                <a:pt x="137688" y="90201"/>
                <a:pt x="118806" y="96945"/>
                <a:pt x="101251" y="106394"/>
              </a:cubicBezTo>
              <a:cubicBezTo>
                <a:pt x="29051" y="145733"/>
                <a:pt x="-7810" y="238125"/>
                <a:pt x="21812" y="315944"/>
              </a:cubicBezTo>
              <a:cubicBezTo>
                <a:pt x="44767" y="375952"/>
                <a:pt x="100108" y="402717"/>
                <a:pt x="157258" y="422815"/>
              </a:cubicBezTo>
              <a:lnTo>
                <a:pt x="157258" y="672179"/>
              </a:lnTo>
              <a:cubicBezTo>
                <a:pt x="112966" y="666750"/>
                <a:pt x="76200" y="641318"/>
                <a:pt x="45720" y="609600"/>
              </a:cubicBezTo>
              <a:lnTo>
                <a:pt x="0" y="653320"/>
              </a:lnTo>
              <a:cubicBezTo>
                <a:pt x="21769" y="678022"/>
                <a:pt x="47726" y="698691"/>
                <a:pt x="76676" y="714375"/>
              </a:cubicBezTo>
              <a:cubicBezTo>
                <a:pt x="101979" y="726412"/>
                <a:pt x="129309" y="733615"/>
                <a:pt x="157258" y="735616"/>
              </a:cubicBezTo>
              <a:lnTo>
                <a:pt x="157258" y="819150"/>
              </a:lnTo>
              <a:lnTo>
                <a:pt x="214408" y="819150"/>
              </a:lnTo>
              <a:lnTo>
                <a:pt x="214408" y="733425"/>
              </a:lnTo>
              <a:cubicBezTo>
                <a:pt x="279940" y="722471"/>
                <a:pt x="340138" y="682181"/>
                <a:pt x="366046" y="619125"/>
              </a:cubicBezTo>
              <a:cubicBezTo>
                <a:pt x="391954" y="556070"/>
                <a:pt x="382524" y="475202"/>
                <a:pt x="328041" y="428625"/>
              </a:cubicBezTo>
              <a:close/>
              <a:moveTo>
                <a:pt x="109633" y="330803"/>
              </a:moveTo>
              <a:cubicBezTo>
                <a:pt x="57245" y="286607"/>
                <a:pt x="70009" y="201073"/>
                <a:pt x="125539" y="165640"/>
              </a:cubicBezTo>
              <a:cubicBezTo>
                <a:pt x="135382" y="159328"/>
                <a:pt x="146057" y="154422"/>
                <a:pt x="157258" y="151067"/>
              </a:cubicBezTo>
              <a:lnTo>
                <a:pt x="157258" y="357664"/>
              </a:lnTo>
              <a:cubicBezTo>
                <a:pt x="140013" y="351392"/>
                <a:pt x="123922" y="342316"/>
                <a:pt x="109633" y="330803"/>
              </a:cubicBezTo>
              <a:close/>
              <a:moveTo>
                <a:pt x="281940" y="633889"/>
              </a:moveTo>
              <a:cubicBezTo>
                <a:pt x="263349" y="652063"/>
                <a:pt x="239894" y="664469"/>
                <a:pt x="214408" y="669608"/>
              </a:cubicBezTo>
              <a:lnTo>
                <a:pt x="214408" y="442055"/>
              </a:lnTo>
              <a:cubicBezTo>
                <a:pt x="252508" y="455105"/>
                <a:pt x="296228" y="471678"/>
                <a:pt x="311753" y="512255"/>
              </a:cubicBezTo>
              <a:cubicBezTo>
                <a:pt x="327279" y="552831"/>
                <a:pt x="311658" y="603599"/>
                <a:pt x="281940" y="633889"/>
              </a:cubicBezTo>
              <a:close/>
            </a:path>
          </a:pathLst>
        </a:custGeom>
        <a:ln/>
        <a:effectLst/>
      </xdr:spPr>
      <xdr:style>
        <a:lnRef idx="0">
          <a:schemeClr val="accent3"/>
        </a:lnRef>
        <a:fillRef idx="3">
          <a:schemeClr val="accent3"/>
        </a:fillRef>
        <a:effectRef idx="3">
          <a:schemeClr val="accent3"/>
        </a:effectRef>
        <a:fontRef idx="minor">
          <a:schemeClr val="lt1"/>
        </a:fontRef>
      </xdr:style>
    </xdr:sp>
    <xdr:clientData/>
  </xdr:twoCellAnchor>
  <xdr:twoCellAnchor>
    <xdr:from>
      <xdr:col>3</xdr:col>
      <xdr:colOff>577273</xdr:colOff>
      <xdr:row>0</xdr:row>
      <xdr:rowOff>50511</xdr:rowOff>
    </xdr:from>
    <xdr:to>
      <xdr:col>6</xdr:col>
      <xdr:colOff>360796</xdr:colOff>
      <xdr:row>3</xdr:row>
      <xdr:rowOff>158750</xdr:rowOff>
    </xdr:to>
    <xdr:sp macro="" textlink="">
      <xdr:nvSpPr>
        <xdr:cNvPr id="65" name="Rectangle: Rounded Corners 64">
          <a:extLst>
            <a:ext uri="{FF2B5EF4-FFF2-40B4-BE49-F238E27FC236}">
              <a16:creationId xmlns:a16="http://schemas.microsoft.com/office/drawing/2014/main" id="{02AFE0CD-096C-DEF5-0A2D-D417441036DA}"/>
            </a:ext>
          </a:extLst>
        </xdr:cNvPr>
        <xdr:cNvSpPr/>
      </xdr:nvSpPr>
      <xdr:spPr>
        <a:xfrm>
          <a:off x="2395682" y="50511"/>
          <a:ext cx="1601932" cy="671080"/>
        </a:xfrm>
        <a:prstGeom prst="roundRect">
          <a:avLst/>
        </a:prstGeom>
        <a:solidFill>
          <a:schemeClr val="accent6">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Dashboard Filters</a:t>
          </a:r>
        </a:p>
      </xdr:txBody>
    </xdr:sp>
    <xdr:clientData/>
  </xdr:twoCellAnchor>
  <xdr:twoCellAnchor>
    <xdr:from>
      <xdr:col>4</xdr:col>
      <xdr:colOff>21648</xdr:colOff>
      <xdr:row>24</xdr:row>
      <xdr:rowOff>180398</xdr:rowOff>
    </xdr:from>
    <xdr:to>
      <xdr:col>6</xdr:col>
      <xdr:colOff>295852</xdr:colOff>
      <xdr:row>27</xdr:row>
      <xdr:rowOff>50512</xdr:rowOff>
    </xdr:to>
    <xdr:sp macro="" textlink="">
      <xdr:nvSpPr>
        <xdr:cNvPr id="9" name="Rectangle: Rounded Corners 8">
          <a:extLst>
            <a:ext uri="{FF2B5EF4-FFF2-40B4-BE49-F238E27FC236}">
              <a16:creationId xmlns:a16="http://schemas.microsoft.com/office/drawing/2014/main" id="{CC09519D-CB08-D811-B0B2-978371CEB339}"/>
            </a:ext>
          </a:extLst>
        </xdr:cNvPr>
        <xdr:cNvSpPr/>
      </xdr:nvSpPr>
      <xdr:spPr>
        <a:xfrm>
          <a:off x="2446193" y="4683125"/>
          <a:ext cx="1486477" cy="432955"/>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rPr>
            <a:t>Prepared by: Rafijul</a:t>
          </a:r>
          <a:r>
            <a:rPr lang="en-US" sz="1200" b="1" baseline="0">
              <a:solidFill>
                <a:schemeClr val="tx1"/>
              </a:solidFill>
            </a:rPr>
            <a:t> </a:t>
          </a:r>
          <a:endParaRPr lang="en-US" sz="1200" b="1">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2337962" createdVersion="8" refreshedVersion="8" minRefreshableVersion="3" recordCount="0" supportSubquery="1" supportAdvancedDrill="1" xr:uid="{23103BA9-34E5-4E34-B038-7B626297D1A8}">
  <cacheSource type="external" connectionId="3"/>
  <cacheFields count="3">
    <cacheField name="[Product].[Product].[Product]" caption="Product" numFmtId="0" hierarchy="1" level="1">
      <sharedItems count="8">
        <s v="Headset"/>
        <s v="Keyboard"/>
        <s v="Laptop"/>
        <s v="Monitor"/>
        <s v="Mouse"/>
        <s v="Printer"/>
        <s v="Tablet"/>
        <s v="Webcam"/>
      </sharedItems>
    </cacheField>
    <cacheField name="[Measures].[Total Sales]" caption="Total Sales" numFmtId="0" hierarchy="17"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2"/>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oneField="1">
      <fieldsUsage count="1">
        <fieldUsage x="1"/>
      </fieldsUsage>
    </cacheHierarchy>
    <cacheHierarchy uniqueName="[Measures].[Total Quantity Sold]" caption="Total Quantity Sold" measure="1" displayFolder="" measureGroup="Sales" count="0"/>
    <cacheHierarchy uniqueName="[Measures].[Average Sales per Order]" caption="Average Sales per Order" measure="1" displayFolder="" measureGroup="Sales" count="0"/>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2800924" createdVersion="5" refreshedVersion="8" minRefreshableVersion="3" recordCount="0" supportSubquery="1" supportAdvancedDrill="1" xr:uid="{68E1D5C9-2769-49BF-935A-2F720C72A2DC}">
  <cacheSource type="external" connectionId="3"/>
  <cacheFields count="4">
    <cacheField name="[Product].[Category].[Category]" caption="Category" numFmtId="0" hierarchy="2" level="1">
      <sharedItems count="3">
        <s v="Accessories"/>
        <s v="Electronics"/>
        <s v="Office Equipment"/>
      </sharedItems>
    </cacheField>
    <cacheField name="[Measures].[Sum of Sales Amount]" caption="Sum of Sales Amount" numFmtId="0" hierarchy="14" level="32767"/>
    <cacheField name="[Measures].[Total Sales]" caption="Total Sales" numFmtId="0" hierarchy="17"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3"/>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oneField="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oneField="1">
      <fieldsUsage count="1">
        <fieldUsage x="2"/>
      </fieldsUsage>
    </cacheHierarchy>
    <cacheHierarchy uniqueName="[Measures].[Total Quantity Sold]" caption="Total Quantity Sold" measure="1" displayFolder="" measureGroup="Sales" count="0"/>
    <cacheHierarchy uniqueName="[Measures].[Average Sales per Order]" caption="Average Sales per Order" measure="1" displayFolder="" measureGroup="Sales" count="0"/>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3148148" createdVersion="5" refreshedVersion="8" minRefreshableVersion="3" recordCount="0" supportSubquery="1" supportAdvancedDrill="1" xr:uid="{90914DD2-5718-4FEF-81BE-1796B5D4AD14}">
  <cacheSource type="external" connectionId="3"/>
  <cacheFields count="3">
    <cacheField name="[Product].[Category].[Category]" caption="Category" numFmtId="0" hierarchy="2" level="1">
      <sharedItems count="3">
        <s v="Accessories"/>
        <s v="Electronics"/>
        <s v="Office Equipment"/>
      </sharedItems>
    </cacheField>
    <cacheField name="[Measures].[Total Quantity Sold]" caption="Total Quantity Sold" numFmtId="0" hierarchy="18"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2"/>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cacheHierarchy uniqueName="[Measures].[Total Quantity Sold]" caption="Total Quantity Sold" measure="1" displayFolder="" measureGroup="Sales" count="0" oneField="1">
      <fieldsUsage count="1">
        <fieldUsage x="1"/>
      </fieldsUsage>
    </cacheHierarchy>
    <cacheHierarchy uniqueName="[Measures].[Average Sales per Order]" caption="Average Sales per Order" measure="1" displayFolder="" measureGroup="Sales" count="0"/>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3495371" createdVersion="5" refreshedVersion="8" minRefreshableVersion="3" recordCount="0" supportSubquery="1" supportAdvancedDrill="1" xr:uid="{950611E2-7E50-4432-A396-A9EDE3F643EB}">
  <cacheSource type="external" connectionId="3"/>
  <cacheFields count="3">
    <cacheField name="[Product].[Category].[Category]" caption="Category" numFmtId="0" hierarchy="2" level="1">
      <sharedItems count="3">
        <s v="Accessories"/>
        <s v="Electronics"/>
        <s v="Office Equipment"/>
      </sharedItems>
    </cacheField>
    <cacheField name="[Measures].[Average Sales per Order]" caption="Average Sales per Order" numFmtId="0" hierarchy="19"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2"/>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cacheHierarchy uniqueName="[Measures].[Total Quantity Sold]" caption="Total Quantity Sold" measure="1" displayFolder="" measureGroup="Sales" count="0"/>
    <cacheHierarchy uniqueName="[Measures].[Average Sales per Order]" caption="Average Sales per Order" measure="1" displayFolder="" measureGroup="Sales" count="0" oneField="1">
      <fieldsUsage count="1">
        <fieldUsage x="1"/>
      </fieldsUsage>
    </cacheHierarchy>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3726855" createdVersion="8" refreshedVersion="8" minRefreshableVersion="3" recordCount="0" supportSubquery="1" supportAdvancedDrill="1" xr:uid="{712B9074-9826-43C4-8640-9B32A73A74E9}">
  <cacheSource type="external" connectionId="3"/>
  <cacheFields count="2">
    <cacheField name="[Measures].[Total Quantity Sold]" caption="Total Quantity Sold" numFmtId="0" hierarchy="18"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1"/>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cacheHierarchy uniqueName="[Measures].[Total Quantity Sold]" caption="Total Quantity Sold" measure="1" displayFolder="" measureGroup="Sales" count="0" oneField="1">
      <fieldsUsage count="1">
        <fieldUsage x="0"/>
      </fieldsUsage>
    </cacheHierarchy>
    <cacheHierarchy uniqueName="[Measures].[Average Sales per Order]" caption="Average Sales per Order" measure="1" displayFolder="" measureGroup="Sales" count="0"/>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3842594" createdVersion="8" refreshedVersion="8" minRefreshableVersion="3" recordCount="0" supportSubquery="1" supportAdvancedDrill="1" xr:uid="{D204711C-5607-46EB-87A8-F63F475D387C}">
  <cacheSource type="external" connectionId="3"/>
  <cacheFields count="2">
    <cacheField name="[Measures].[Average Sales per Order]" caption="Average Sales per Order" numFmtId="0" hierarchy="19"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1"/>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cacheHierarchy uniqueName="[Measures].[Total Quantity Sold]" caption="Total Quantity Sold" measure="1" displayFolder="" measureGroup="Sales" count="0"/>
    <cacheHierarchy uniqueName="[Measures].[Average Sales per Order]" caption="Average Sales per Order" measure="1" displayFolder="" measureGroup="Sales" count="0" oneField="1">
      <fieldsUsage count="1">
        <fieldUsage x="0"/>
      </fieldsUsage>
    </cacheHierarchy>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3958333" createdVersion="8" refreshedVersion="8" minRefreshableVersion="3" recordCount="0" supportSubquery="1" supportAdvancedDrill="1" xr:uid="{DBCA93F2-F4D5-4AEB-93F6-3DDCDAA9E59A}">
  <cacheSource type="external" connectionId="3"/>
  <cacheFields count="2">
    <cacheField name="[Measures].[Categories]" caption="Categories" numFmtId="0" hierarchy="20"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1"/>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cacheHierarchy uniqueName="[Measures].[Total Quantity Sold]" caption="Total Quantity Sold" measure="1" displayFolder="" measureGroup="Sales" count="0"/>
    <cacheHierarchy uniqueName="[Measures].[Average Sales per Order]" caption="Average Sales per Order" measure="1" displayFolder="" measureGroup="Sales" count="0"/>
    <cacheHierarchy uniqueName="[Measures].[Categories]" caption="Categories" measure="1" displayFolder="" measureGroup="Product" count="0" oneField="1">
      <fieldsUsage count="1">
        <fieldUsage x="0"/>
      </fieldsUsage>
    </cacheHierarchy>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4421295" createdVersion="8" refreshedVersion="8" minRefreshableVersion="3" recordCount="0" supportSubquery="1" supportAdvancedDrill="1" xr:uid="{B0112582-A1E0-4C73-BF8C-EE454C9C03BB}">
  <cacheSource type="external" connectionId="3"/>
  <cacheFields count="3">
    <cacheField name="[Sales].[Region].[Region]" caption="Region" numFmtId="0" hierarchy="5" level="1">
      <sharedItems count="4">
        <s v="East"/>
        <s v="North"/>
        <s v="South"/>
        <s v="West"/>
      </sharedItems>
    </cacheField>
    <cacheField name="[Measures].[Total Sales]" caption="Total Sales" numFmtId="0" hierarchy="17"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fieldsUsage count="2">
        <fieldUsage x="-1"/>
        <fieldUsage x="0"/>
      </fieldsUsage>
    </cacheHierarchy>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2"/>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oneField="1">
      <fieldsUsage count="1">
        <fieldUsage x="1"/>
      </fieldsUsage>
    </cacheHierarchy>
    <cacheHierarchy uniqueName="[Measures].[Total Quantity Sold]" caption="Total Quantity Sold" measure="1" displayFolder="" measureGroup="Sales" count="0"/>
    <cacheHierarchy uniqueName="[Measures].[Average Sales per Order]" caption="Average Sales per Order" measure="1" displayFolder="" measureGroup="Sales" count="0"/>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4884257" createdVersion="8" refreshedVersion="8" minRefreshableVersion="3" recordCount="0" supportSubquery="1" supportAdvancedDrill="1" xr:uid="{20D7D510-0A88-465C-B328-9153C5B3DD6C}">
  <cacheSource type="external" connectionId="3"/>
  <cacheFields count="4">
    <cacheField name="[Sales].[Order Date].[Order Date]" caption="Order Date" numFmtId="0" hierarchy="4" level="1">
      <sharedItems containsSemiMixedTypes="0" containsNonDate="0" containsDate="1" containsString="0" minDate="2026-01-02T00:00:00" maxDate="2026-06-01T00:00:00" count="55">
        <d v="2026-01-02T00:00:00"/>
        <d v="2026-01-03T00:00:00"/>
        <d v="2026-01-04T00:00:00"/>
        <d v="2026-01-05T00:00:00"/>
        <d v="2026-01-07T00:00:00"/>
        <d v="2026-01-08T00:00:00"/>
        <d v="2026-01-14T00:00:00"/>
        <d v="2026-01-16T00:00:00"/>
        <d v="2026-01-17T00:00:00"/>
        <d v="2026-01-18T00:00:00"/>
        <d v="2026-01-19T00:00:00"/>
        <d v="2026-01-20T00:00:00"/>
        <d v="2026-01-22T00:00:00"/>
        <d v="2026-01-27T00:00:00"/>
        <d v="2026-02-01T00:00:00"/>
        <d v="2026-02-10T00:00:00"/>
        <d v="2026-02-11T00:00:00"/>
        <d v="2026-02-14T00:00:00"/>
        <d v="2026-02-20T00:00:00"/>
        <d v="2026-02-24T00:00:00"/>
        <d v="2026-02-25T00:00:00"/>
        <d v="2026-02-26T00:00:00"/>
        <d v="2026-03-10T00:00:00"/>
        <d v="2026-03-11T00:00:00"/>
        <d v="2026-03-12T00:00:00"/>
        <d v="2026-03-16T00:00:00"/>
        <d v="2026-03-19T00:00:00"/>
        <d v="2026-03-20T00:00:00"/>
        <d v="2026-03-23T00:00:00"/>
        <d v="2026-03-29T00:00:00"/>
        <d v="2026-04-03T00:00:00"/>
        <d v="2026-04-04T00:00:00"/>
        <d v="2026-04-05T00:00:00"/>
        <d v="2026-04-08T00:00:00"/>
        <d v="2026-04-09T00:00:00"/>
        <d v="2026-04-10T00:00:00"/>
        <d v="2026-04-11T00:00:00"/>
        <d v="2026-04-13T00:00:00"/>
        <d v="2026-04-14T00:00:00"/>
        <d v="2026-04-15T00:00:00"/>
        <d v="2026-04-21T00:00:00"/>
        <d v="2026-04-23T00:00:00"/>
        <d v="2026-04-27T00:00:00"/>
        <d v="2026-04-28T00:00:00"/>
        <d v="2026-05-07T00:00:00"/>
        <d v="2026-05-10T00:00:00"/>
        <d v="2026-05-13T00:00:00"/>
        <d v="2026-05-14T00:00:00"/>
        <d v="2026-05-15T00:00:00"/>
        <d v="2026-05-16T00:00:00"/>
        <d v="2026-05-19T00:00:00"/>
        <d v="2026-05-27T00:00:00"/>
        <d v="2026-05-28T00:00:00"/>
        <d v="2026-05-29T00:00:00"/>
        <d v="2026-05-31T00:00:00"/>
      </sharedItems>
    </cacheField>
    <cacheField name="[Sales].[Order Date (Month)].[Order Date (Month)]" caption="Order Date (Month)" numFmtId="0" hierarchy="11" level="1">
      <sharedItems count="5">
        <s v="Jan"/>
        <s v="Feb"/>
        <s v="Mar"/>
        <s v="Apr"/>
        <s v="May"/>
      </sharedItems>
    </cacheField>
    <cacheField name="[Measures].[Total Sales]" caption="Total Sales" numFmtId="0" hierarchy="17" level="32767"/>
    <cacheField name="Unsupported0" numFmtId="0" hierarchy="24" level="32767">
      <extLst>
        <ext xmlns:x14="http://schemas.microsoft.com/office/spreadsheetml/2009/9/main" uri="{63CAB8AC-B538-458d-9737-405883B0398D}">
          <x14:cacheField ignore="1"/>
        </ext>
      </extLst>
    </cacheField>
  </cacheFields>
  <cacheHierarchies count="25">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2" memberValueDatatype="7" unbalanced="0">
      <fieldsUsage count="2">
        <fieldUsage x="-1"/>
        <fieldUsage x="0"/>
      </fieldsUsage>
    </cacheHierarchy>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1"/>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oneField="1">
      <fieldsUsage count="1">
        <fieldUsage x="2"/>
      </fieldsUsage>
    </cacheHierarchy>
    <cacheHierarchy uniqueName="[Measures].[Total Quantity Sold]" caption="Total Quantity Sold" measure="1" displayFolder="" measureGroup="Sales" count="0"/>
    <cacheHierarchy uniqueName="[Measures].[Average Sales per Order]" caption="Average Sales per Order" measure="1" displayFolder="" measureGroup="Sales" count="0"/>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Unsupported0" caption="Product ID" measure="1" count="0">
      <extLst>
        <ext xmlns:x14="http://schemas.microsoft.com/office/spreadsheetml/2009/9/main" uri="{8CF416AD-EC4C-4aba-99F5-12A058AE0983}">
          <x14:cacheHierarchy ignore="1"/>
        </ext>
      </extLst>
    </cacheHierarchy>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8.946967476855" createdVersion="3" refreshedVersion="8" minRefreshableVersion="3" recordCount="0" supportSubquery="1" supportAdvancedDrill="1" xr:uid="{09B2CA43-E1E2-4E04-A0EE-1E18C0C9EA2C}">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cacheHierarchy uniqueName="[Measures].[Total Quantity Sold]" caption="Total Quantity Sold" measure="1" displayFolder="" measureGroup="Sales" count="0"/>
    <cacheHierarchy uniqueName="[Measures].[Average Sales per Order]" caption="Average Sales per Order" measure="1" displayFolder="" measureGroup="Sales" count="0"/>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61514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E4DB38-08B9-46BC-9C28-F1210477C07A}" name="PivotTable2" cacheId="2" applyNumberFormats="0" applyBorderFormats="0" applyFontFormats="0" applyPatternFormats="0" applyAlignmentFormats="0" applyWidthHeightFormats="1" dataCaption="Values" tag="54b71895-5712-4427-a847-c862879cc03e" updatedVersion="8" minRefreshableVersion="3" useAutoFormatting="1" itemPrintTitles="1" createdVersion="5" indent="0" outline="1" outlineData="1" multipleFieldFilters="0" rowHeaderCaption="Category">
  <location ref="B10:C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Sum of Sales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95BC97-05C2-4FEA-A9E5-F9E15D1CE293}" name="PivotTable1" cacheId="1" applyNumberFormats="0" applyBorderFormats="0" applyFontFormats="0" applyPatternFormats="0" applyAlignmentFormats="0" applyWidthHeightFormats="1" dataCaption="Values" tag="0d06e244-5281-4811-8435-08ef09a8c321" updatedVersion="8" minRefreshableVersion="3" useAutoFormatting="1" itemPrintTitles="1" createdVersion="5" indent="0" outline="1" outlineData="1" multipleFieldFilters="0" rowHeaderCaption="Category">
  <location ref="B3:D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Sales Amount" fld="1" baseField="0" baseItem="0"/>
    <dataField fld="2" subtotal="count" baseField="0" baseItem="0"/>
  </dataField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Sum of Sales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5D3EF9-2D69-402C-B6B1-AAA8506AB734}" name="PivotTable3" cacheId="3" applyNumberFormats="0" applyBorderFormats="0" applyFontFormats="0" applyPatternFormats="0" applyAlignmentFormats="0" applyWidthHeightFormats="1" dataCaption="Values" tag="e1341dfe-ae9c-4f33-a9e6-832bef447157" updatedVersion="8" minRefreshableVersion="3" useAutoFormatting="1" itemPrintTitles="1" createdVersion="5" indent="0" outline="1" outlineData="1" multipleFieldFilters="0" rowHeaderCaption="Category">
  <location ref="K3:L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2">
    <format dxfId="3">
      <pivotArea collapsedLevelsAreSubtotals="1" fieldPosition="0">
        <references count="1">
          <reference field="0" count="1">
            <x v="0"/>
          </reference>
        </references>
      </pivotArea>
    </format>
    <format dxfId="2">
      <pivotArea collapsedLevelsAreSubtotals="1" fieldPosition="0">
        <references count="1">
          <reference field="0" count="1">
            <x v="1"/>
          </reference>
        </references>
      </pivotArea>
    </format>
  </format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Sum of Sales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6DB8FF-C00B-4543-9571-E6D01B4E1B94}" name="Product Categories" cacheId="6" applyNumberFormats="0" applyBorderFormats="0" applyFontFormats="0" applyPatternFormats="0" applyAlignmentFormats="0" applyWidthHeightFormats="1" dataCaption="Values" tag="2a172857-edfc-442f-8708-ffad1f8cfa31" updatedVersion="8" minRefreshableVersion="3" useAutoFormatting="1" subtotalHiddenItems="1" itemPrintTitles="1" createdVersion="8" indent="0" outline="1" outlineData="1" multipleFieldFilters="0" chartFormat="29" rowHeaderCaption="Region">
  <location ref="G18:G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6DB60C-58D5-4F0D-B41C-9A9699193EC6}" name="Average Sales per Order" cacheId="5" applyNumberFormats="0" applyBorderFormats="0" applyFontFormats="0" applyPatternFormats="0" applyAlignmentFormats="0" applyWidthHeightFormats="1" dataCaption="Values" tag="9ad9e4eb-d8ac-4dbe-899f-08b96401bf9a" updatedVersion="8" minRefreshableVersion="3" useAutoFormatting="1" subtotalHiddenItems="1" itemPrintTitles="1" createdVersion="8" indent="0" outline="1" outlineData="1" multipleFieldFilters="0" chartFormat="35" rowHeaderCaption="Months">
  <location ref="G15:G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3"/>
  </dataFields>
  <formats count="1">
    <format dxfId="0">
      <pivotArea outline="0" collapsedLevelsAreSubtotals="1" fieldPosition="0"/>
    </format>
  </format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9D5F71-CF8C-4A31-B1D4-DA7567E496EE}" name="Total Quantity Sold" cacheId="4" applyNumberFormats="0" applyBorderFormats="0" applyFontFormats="0" applyPatternFormats="0" applyAlignmentFormats="0" applyWidthHeightFormats="1" dataCaption="Values" tag="c024a50a-2dcc-4973-ba75-382bc548f01e" updatedVersion="8" minRefreshableVersion="3" useAutoFormatting="1" subtotalHiddenItems="1" itemPrintTitles="1" createdVersion="8" indent="0" outline="1" outlineData="1" multipleFieldFilters="0" chartFormat="35" rowHeaderCaption="Months">
  <location ref="G12:G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3CE331-AB75-421F-883C-8773B183BC43}" name="Months wise Sale" cacheId="8" applyNumberFormats="0" applyBorderFormats="0" applyFontFormats="0" applyPatternFormats="0" applyAlignmentFormats="0" applyWidthHeightFormats="1" dataCaption="Values" tag="8e71c3d5-457d-40aa-a7f5-1919ac323401" updatedVersion="8" minRefreshableVersion="3" useAutoFormatting="1" subtotalHiddenItems="1" itemPrintTitles="1" createdVersion="8" indent="0" outline="1" outlineData="1" multipleFieldFilters="0" chartFormat="48" rowHeaderCaption="Months">
  <location ref="H3:J9" firstHeaderRow="0" firstDataRow="1" firstDataCol="1"/>
  <pivotFields count="4">
    <pivotField axis="axisRow" allDrilled="1" subtotalTop="0" showAll="0" dataSourceSort="1" defaultSubtotal="0" defaultAttributeDrillState="1">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s>
    </pivotField>
    <pivotField axis="axisRow" allDrilled="1" subtotalTop="0" showAll="0" dataSourceSort="1" defaultSubtotal="0">
      <items count="5">
        <item x="0" e="0"/>
        <item x="1" e="0"/>
        <item x="2" e="0"/>
        <item x="3" e="0"/>
        <item x="4"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6">
    <i>
      <x/>
    </i>
    <i>
      <x v="1"/>
    </i>
    <i>
      <x v="2"/>
    </i>
    <i>
      <x v="3"/>
    </i>
    <i>
      <x v="4"/>
    </i>
    <i t="grand">
      <x/>
    </i>
  </rowItems>
  <colFields count="1">
    <field x="-2"/>
  </colFields>
  <colItems count="2">
    <i>
      <x/>
    </i>
    <i i="1">
      <x v="1"/>
    </i>
  </colItems>
  <dataFields count="2">
    <dataField fld="2" subtotal="count" baseField="0" baseItem="0"/>
    <dataField name="Total Sales2" fld="3" subtotal="count" showDataAs="percentOfTotal" baseField="0" baseItem="0" numFmtId="10">
      <extLst>
        <ext xmlns:x14="http://schemas.microsoft.com/office/spreadsheetml/2009/9/main" uri="{E15A36E0-9728-4e99-A89B-3F7291B0FE68}">
          <x14:dataField sourceField="2" uniqueName="[__Xl2].[Measures].[Total Sales]"/>
        </ext>
      </extLst>
    </dataField>
  </dataFields>
  <chartFormats count="12">
    <chartFormat chart="27" format="0" series="1">
      <pivotArea type="data" outline="0" fieldPosition="0">
        <references count="1">
          <reference field="4294967294" count="1" selected="0">
            <x v="0"/>
          </reference>
        </references>
      </pivotArea>
    </chartFormat>
    <chartFormat chart="39" format="19" series="1">
      <pivotArea type="data" outline="0" fieldPosition="0">
        <references count="1">
          <reference field="4294967294" count="1" selected="0">
            <x v="0"/>
          </reference>
        </references>
      </pivotArea>
    </chartFormat>
    <chartFormat chart="39" format="20">
      <pivotArea type="data" outline="0" fieldPosition="0">
        <references count="2">
          <reference field="4294967294" count="1" selected="0">
            <x v="0"/>
          </reference>
          <reference field="1" count="1" selected="0">
            <x v="0"/>
          </reference>
        </references>
      </pivotArea>
    </chartFormat>
    <chartFormat chart="39" format="21">
      <pivotArea type="data" outline="0" fieldPosition="0">
        <references count="2">
          <reference field="4294967294" count="1" selected="0">
            <x v="0"/>
          </reference>
          <reference field="1" count="1" selected="0">
            <x v="1"/>
          </reference>
        </references>
      </pivotArea>
    </chartFormat>
    <chartFormat chart="39" format="22">
      <pivotArea type="data" outline="0" fieldPosition="0">
        <references count="2">
          <reference field="4294967294" count="1" selected="0">
            <x v="0"/>
          </reference>
          <reference field="1" count="1" selected="0">
            <x v="2"/>
          </reference>
        </references>
      </pivotArea>
    </chartFormat>
    <chartFormat chart="39" format="23">
      <pivotArea type="data" outline="0" fieldPosition="0">
        <references count="2">
          <reference field="4294967294" count="1" selected="0">
            <x v="0"/>
          </reference>
          <reference field="1" count="1" selected="0">
            <x v="3"/>
          </reference>
        </references>
      </pivotArea>
    </chartFormat>
    <chartFormat chart="39" format="24">
      <pivotArea type="data" outline="0" fieldPosition="0">
        <references count="2">
          <reference field="4294967294" count="1" selected="0">
            <x v="0"/>
          </reference>
          <reference field="1" count="1" selected="0">
            <x v="4"/>
          </reference>
        </references>
      </pivotArea>
    </chartFormat>
    <chartFormat chart="39" format="25" series="1">
      <pivotArea type="data" outline="0" fieldPosition="0">
        <references count="1">
          <reference field="4294967294" count="1" selected="0">
            <x v="1"/>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7" format="8" series="1">
      <pivotArea type="data" outline="0" fieldPosition="0">
        <references count="1">
          <reference field="4294967294" count="1" selected="0">
            <x v="0"/>
          </reference>
        </references>
      </pivotArea>
    </chartFormat>
    <chartFormat chart="47" format="9" series="1">
      <pivotArea type="data" outline="0" fieldPosition="0">
        <references count="1">
          <reference field="4294967294" count="1" selected="0">
            <x v="1"/>
          </reference>
        </references>
      </pivotArea>
    </chartFormat>
  </chartFormats>
  <pivotHierarchies count="2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E36E13-5456-4516-A509-91E56AD01987}" name="Product wise Sale" cacheId="0" applyNumberFormats="0" applyBorderFormats="0" applyFontFormats="0" applyPatternFormats="0" applyAlignmentFormats="0" applyWidthHeightFormats="1" dataCaption="Values" tag="128d8a48-5176-484d-81e3-11597f3c8901" updatedVersion="8" minRefreshableVersion="3" subtotalHiddenItems="1" itemPrintTitles="1" createdVersion="8" indent="0" outline="1" outlineData="1" multipleFieldFilters="0" chartFormat="32" rowHeaderCaption="Product">
  <location ref="D3:E12" firstHeaderRow="1" firstDataRow="1" firstDataCol="1"/>
  <pivotFields count="3">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4"/>
    </i>
    <i>
      <x v="7"/>
    </i>
    <i>
      <x/>
    </i>
    <i>
      <x v="1"/>
    </i>
    <i>
      <x v="6"/>
    </i>
    <i>
      <x v="3"/>
    </i>
    <i>
      <x v="5"/>
    </i>
    <i>
      <x v="2"/>
    </i>
    <i t="grand">
      <x/>
    </i>
  </rowItems>
  <colItems count="1">
    <i/>
  </colItems>
  <dataFields count="1">
    <dataField fld="1" subtotal="count" baseField="0" baseItem="0"/>
  </dataFields>
  <chartFormats count="1">
    <chartFormat chart="31" format="2" series="1">
      <pivotArea type="data" outline="0" fieldPosition="0">
        <references count="1">
          <reference field="4294967294" count="1" selected="0">
            <x v="0"/>
          </reference>
        </references>
      </pivotArea>
    </chartFormat>
  </chartFormat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D17405-E9BA-4D4E-977A-053C2B1F1322}" name="Region wise Sale" cacheId="7" applyNumberFormats="0" applyBorderFormats="0" applyFontFormats="0" applyPatternFormats="0" applyAlignmentFormats="0" applyWidthHeightFormats="1" dataCaption="Values" tag="c32e6807-8d8b-41ea-897a-6b3e6eff715a" updatedVersion="8" minRefreshableVersion="3" useAutoFormatting="1" subtotalHiddenItems="1" itemPrintTitles="1" createdVersion="8" indent="0" outline="1" outlineData="1" multipleFieldFilters="0" chartFormat="56" rowHeaderCaption="Region">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formats count="1">
    <format dxfId="1">
      <pivotArea grandRow="1" outline="0" collapsedLevelsAreSubtotals="1" fieldPosition="0"/>
    </format>
  </formats>
  <chartFormats count="7">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0" count="1" selected="0">
            <x v="0"/>
          </reference>
        </references>
      </pivotArea>
    </chartFormat>
    <chartFormat chart="53" format="6" series="1">
      <pivotArea type="data" outline="0" fieldPosition="0">
        <references count="1">
          <reference field="4294967294" count="1" selected="0">
            <x v="0"/>
          </reference>
        </references>
      </pivotArea>
    </chartFormat>
    <chartFormat chart="53" format="7">
      <pivotArea type="data" outline="0" fieldPosition="0">
        <references count="2">
          <reference field="4294967294" count="1" selected="0">
            <x v="0"/>
          </reference>
          <reference field="0" count="1" selected="0">
            <x v="0"/>
          </reference>
        </references>
      </pivotArea>
    </chartFormat>
    <chartFormat chart="53" format="8">
      <pivotArea type="data" outline="0" fieldPosition="0">
        <references count="2">
          <reference field="4294967294" count="1" selected="0">
            <x v="0"/>
          </reference>
          <reference field="0" count="1" selected="0">
            <x v="1"/>
          </reference>
        </references>
      </pivotArea>
    </chartFormat>
    <chartFormat chart="53" format="9">
      <pivotArea type="data" outline="0" fieldPosition="0">
        <references count="2">
          <reference field="4294967294" count="1" selected="0">
            <x v="0"/>
          </reference>
          <reference field="0" count="1" selected="0">
            <x v="2"/>
          </reference>
        </references>
      </pivotArea>
    </chartFormat>
    <chartFormat chart="53" format="10">
      <pivotArea type="data" outline="0" fieldPosition="0">
        <references count="2">
          <reference field="4294967294" count="1" selected="0">
            <x v="0"/>
          </reference>
          <reference field="0" count="1" selected="0">
            <x v="3"/>
          </reference>
        </references>
      </pivotArea>
    </chartFormat>
  </chartFormat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C69E62A-5178-4FE7-9C93-E722FEBCC1ED}" autoFormatId="16" applyNumberFormats="0" applyBorderFormats="0" applyFontFormats="0" applyPatternFormats="0" applyAlignmentFormats="0" applyWidthHeightFormats="0">
  <queryTableRefresh nextId="13">
    <queryTableFields count="7">
      <queryTableField id="1" name="Order Date" tableColumnId="1"/>
      <queryTableField id="2" name="Region" tableColumnId="2"/>
      <queryTableField id="7" name="Customer Name" tableColumnId="7"/>
      <queryTableField id="8" name="Product Name" tableColumnId="8"/>
      <queryTableField id="5" name="Quantity" tableColumnId="5"/>
      <queryTableField id="6" name="Sales Amount" tableColumnId="6"/>
      <queryTableField id="12" name="Product ID"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5BDED5-AF17-4E41-A2B5-E34E5DE65054}" sourceName="[Sales].[Region]">
  <pivotTables>
    <pivotTable tabId="6" name="Product wise Sale"/>
    <pivotTable tabId="4" name="PivotTable1"/>
    <pivotTable tabId="4" name="PivotTable2"/>
    <pivotTable tabId="4" name="PivotTable3"/>
    <pivotTable tabId="6" name="Total Quantity Sold"/>
    <pivotTable tabId="6" name="Average Sales per Order"/>
    <pivotTable tabId="6" name="Product Categories"/>
    <pivotTable tabId="6" name="Region wise Sale"/>
    <pivotTable tabId="6" name="Months wise Sale"/>
  </pivotTables>
  <data>
    <olap pivotCacheId="296151430">
      <levels count="2">
        <level uniqueName="[Sales].[Region].[(All)]" sourceCaption="(All)" count="0"/>
        <level uniqueName="[Sales].[Region].[Region]" sourceCaption="Region" count="4">
          <ranges>
            <range startItem="0">
              <i n="[Sales].[Region].&amp;[East]" c="East"/>
              <i n="[Sales].[Region].&amp;[North]" c="North"/>
              <i n="[Sales].[Region].&amp;[South]" c="South"/>
              <i n="[Sales].[Region].&amp;[West]" c="West"/>
            </range>
          </ranges>
        </level>
      </levels>
      <selections count="1">
        <selection n="[Sale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0272FC8-F662-402F-9413-46A74725DF46}" sourceName="[Product].[Product]">
  <pivotTables>
    <pivotTable tabId="6" name="Product wise Sale"/>
    <pivotTable tabId="4" name="PivotTable1"/>
    <pivotTable tabId="4" name="PivotTable2"/>
    <pivotTable tabId="4" name="PivotTable3"/>
    <pivotTable tabId="6" name="Total Quantity Sold"/>
    <pivotTable tabId="6" name="Average Sales per Order"/>
    <pivotTable tabId="6" name="Product Categories"/>
    <pivotTable tabId="6" name="Region wise Sale"/>
    <pivotTable tabId="6" name="Months wise Sale"/>
  </pivotTables>
  <data>
    <olap pivotCacheId="296151430">
      <levels count="2">
        <level uniqueName="[Product].[Product].[(All)]" sourceCaption="(All)" count="0"/>
        <level uniqueName="[Product].[Product].[Product]" sourceCaption="Product" count="8">
          <ranges>
            <range startItem="0">
              <i n="[Product].[Product].&amp;[Headset]" c="Headset"/>
              <i n="[Product].[Product].&amp;[Keyboard]" c="Keyboard"/>
              <i n="[Product].[Product].&amp;[Laptop]" c="Laptop"/>
              <i n="[Product].[Product].&amp;[Monitor]" c="Monitor"/>
              <i n="[Product].[Product].&amp;[Mouse]" c="Mouse"/>
              <i n="[Product].[Product].&amp;[Printer]" c="Printer"/>
              <i n="[Product].[Product].&amp;[Tablet]" c="Tablet"/>
              <i n="[Product].[Product].&amp;[Webcam]" c="Webcam"/>
            </range>
          </ranges>
        </level>
      </levels>
      <selections count="1">
        <selection n="[Product].[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E5335B87-24C2-46D9-B78E-D034572C96A4}" sourceName="[Sales].[Order Date (Month)]">
  <pivotTables>
    <pivotTable tabId="6" name="Product wise Sale"/>
    <pivotTable tabId="4" name="PivotTable1"/>
    <pivotTable tabId="4" name="PivotTable2"/>
    <pivotTable tabId="4" name="PivotTable3"/>
    <pivotTable tabId="6" name="Total Quantity Sold"/>
    <pivotTable tabId="6" name="Average Sales per Order"/>
    <pivotTable tabId="6" name="Product Categories"/>
    <pivotTable tabId="6" name="Region wise Sale"/>
    <pivotTable tabId="6" name="Months wise Sale"/>
  </pivotTables>
  <data>
    <olap pivotCacheId="296151430">
      <levels count="2">
        <level uniqueName="[Sales].[Order Date (Month)].[(All)]" sourceCaption="(All)" count="0"/>
        <level uniqueName="[Sales].[Order Date (Month)].[Order Date (Month)]" sourceCaption="Order Date (Month)" count="5">
          <ranges>
            <range startItem="0">
              <i n="[Sales].[Order Date (Month)].&amp;[Jan]" c="Jan"/>
              <i n="[Sales].[Order Date (Month)].&amp;[Feb]" c="Feb"/>
              <i n="[Sales].[Order Date (Month)].&amp;[Mar]" c="Mar"/>
              <i n="[Sales].[Order Date (Month)].&amp;[Apr]" c="Apr"/>
              <i n="[Sales].[Order Date (Month)].&amp;[May]" c="May"/>
            </range>
          </ranges>
        </level>
      </levels>
      <selections count="1">
        <selection n="[Sales].[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66BCE55-6BD6-4E9A-AD11-EC6FE1AB81D0}" cache="Slicer_Region" caption="Region" columnCount="2" level="1" style="SlicerStyleDark3" rowHeight="251883"/>
  <slicer name="Product" xr10:uid="{1EFB8F28-0E29-4ED6-A901-17FE5E67A455}" cache="Slicer_Product" caption="Product" columnCount="2" level="1" style="SlicerStyleDark3" rowHeight="251883"/>
  <slicer name="Order Date (Month)" xr10:uid="{F1A49E81-74AA-4F5E-AB1A-BA56C9FCBBBF}" cache="Slicer_Order_Date__Month" caption="Month" columnCount="2" level="1" style="SlicerStyleDark3"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6198D5-D5E6-4A6C-B309-A512DC675E87}" name="Sales" displayName="Sales" ref="A1:G71" tableType="queryTable" totalsRowShown="0" dataDxfId="11">
  <autoFilter ref="A1:G71" xr:uid="{F06198D5-D5E6-4A6C-B309-A512DC675E87}"/>
  <tableColumns count="7">
    <tableColumn id="1" xr3:uid="{843764D6-3B46-4DFC-92B2-DDE1C9E6BEE1}" uniqueName="1" name="Order Date" queryTableFieldId="1" dataDxfId="10"/>
    <tableColumn id="2" xr3:uid="{8CF08C24-F921-490D-9B2F-00E1C2B1853E}" uniqueName="2" name="Region" queryTableFieldId="2" dataDxfId="9"/>
    <tableColumn id="7" xr3:uid="{8BAA7E87-7077-4636-AA13-0881C2E364C7}" uniqueName="7" name="Customer Name" queryTableFieldId="7" dataDxfId="8"/>
    <tableColumn id="8" xr3:uid="{E8F9082B-548B-4990-BAEE-0282B6A66BB2}" uniqueName="8" name="Product Name" queryTableFieldId="8" dataDxfId="7"/>
    <tableColumn id="5" xr3:uid="{53B49036-B0AA-4DC5-828B-4D194DBDFBB9}" uniqueName="5" name="Quantity" queryTableFieldId="5" dataDxfId="6"/>
    <tableColumn id="6" xr3:uid="{2ED22178-607F-4AF4-8CC6-20DFFA098C1D}" uniqueName="6" name="Sales Amount" queryTableFieldId="6" dataDxfId="5"/>
    <tableColumn id="10" xr3:uid="{7208FC91-ABED-4AEF-97E0-EA3673043107}" uniqueName="10" name="Product ID" queryTableFieldId="12"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26209B-C456-4D90-B2C4-0726CB1D386D}" name="Product" displayName="Product" ref="A1:D9" totalsRowShown="0">
  <autoFilter ref="A1:D9" xr:uid="{8C26209B-C456-4D90-B2C4-0726CB1D386D}"/>
  <tableColumns count="4">
    <tableColumn id="1" xr3:uid="{ACAC1726-351C-4471-8914-A5237B096B41}" name="Product ID"/>
    <tableColumn id="2" xr3:uid="{D1FCBBE1-4869-45A3-99A4-F4F343C9A2F1}" name="Product"/>
    <tableColumn id="3" xr3:uid="{538E72D7-DADE-4FAD-96DC-A6958E72DFDA}" name="Category"/>
    <tableColumn id="4" xr3:uid="{E05C80B7-0F16-4917-A229-CED8E5DE4889}" name="Standard 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3B21A-D301-46C6-9FFC-A6BC8A83BFE1}">
  <dimension ref="A1:G71"/>
  <sheetViews>
    <sheetView workbookViewId="0">
      <selection sqref="A1:G71"/>
    </sheetView>
  </sheetViews>
  <sheetFormatPr defaultRowHeight="14.5" x14ac:dyDescent="0.35"/>
  <cols>
    <col min="1" max="1" width="12" bestFit="1" customWidth="1"/>
    <col min="2" max="2" width="8.81640625" bestFit="1" customWidth="1"/>
    <col min="3" max="3" width="16.6328125" bestFit="1" customWidth="1"/>
    <col min="4" max="4" width="14.90625" bestFit="1" customWidth="1"/>
    <col min="5" max="5" width="10.26953125" bestFit="1" customWidth="1"/>
    <col min="6" max="6" width="14.54296875" bestFit="1" customWidth="1"/>
    <col min="7" max="7" width="11.81640625" bestFit="1" customWidth="1"/>
    <col min="8" max="8" width="19" bestFit="1" customWidth="1"/>
    <col min="9" max="9" width="10.26953125" bestFit="1" customWidth="1"/>
    <col min="10" max="10" width="14.54296875" bestFit="1" customWidth="1"/>
  </cols>
  <sheetData>
    <row r="1" spans="1:7" x14ac:dyDescent="0.35">
      <c r="A1" t="s">
        <v>0</v>
      </c>
      <c r="B1" t="s">
        <v>1</v>
      </c>
      <c r="C1" t="s">
        <v>45</v>
      </c>
      <c r="D1" t="s">
        <v>46</v>
      </c>
      <c r="E1" t="s">
        <v>3</v>
      </c>
      <c r="F1" t="s">
        <v>4</v>
      </c>
      <c r="G1" t="s">
        <v>31</v>
      </c>
    </row>
    <row r="2" spans="1:7" x14ac:dyDescent="0.35">
      <c r="A2" s="5">
        <v>46135</v>
      </c>
      <c r="B2" s="1" t="s">
        <v>5</v>
      </c>
      <c r="C2" t="s">
        <v>6</v>
      </c>
      <c r="D2" t="s">
        <v>7</v>
      </c>
      <c r="E2" s="1">
        <v>8</v>
      </c>
      <c r="F2" s="1">
        <v>560</v>
      </c>
      <c r="G2" t="s">
        <v>38</v>
      </c>
    </row>
    <row r="3" spans="1:7" x14ac:dyDescent="0.35">
      <c r="A3" s="5">
        <v>46024</v>
      </c>
      <c r="B3" s="1" t="s">
        <v>11</v>
      </c>
      <c r="C3" t="s">
        <v>6</v>
      </c>
      <c r="D3" t="s">
        <v>18</v>
      </c>
      <c r="E3" s="1">
        <v>6</v>
      </c>
      <c r="F3" s="1">
        <v>5400</v>
      </c>
      <c r="G3" t="s">
        <v>34</v>
      </c>
    </row>
    <row r="4" spans="1:7" x14ac:dyDescent="0.35">
      <c r="A4" s="5">
        <v>46169</v>
      </c>
      <c r="B4" s="1" t="s">
        <v>19</v>
      </c>
      <c r="C4" t="s">
        <v>20</v>
      </c>
      <c r="D4" t="s">
        <v>18</v>
      </c>
      <c r="E4" s="1">
        <v>8</v>
      </c>
      <c r="F4" s="1">
        <v>7200</v>
      </c>
      <c r="G4" t="s">
        <v>34</v>
      </c>
    </row>
    <row r="5" spans="1:7" x14ac:dyDescent="0.35">
      <c r="A5" s="5">
        <v>46115</v>
      </c>
      <c r="B5" s="1" t="s">
        <v>5</v>
      </c>
      <c r="C5" t="s">
        <v>9</v>
      </c>
      <c r="D5" t="s">
        <v>18</v>
      </c>
      <c r="E5" s="1">
        <v>1</v>
      </c>
      <c r="F5" s="1">
        <v>900</v>
      </c>
      <c r="G5" t="s">
        <v>34</v>
      </c>
    </row>
    <row r="6" spans="1:7" x14ac:dyDescent="0.35">
      <c r="A6" s="5">
        <v>46115</v>
      </c>
      <c r="B6" s="1" t="s">
        <v>8</v>
      </c>
      <c r="C6" t="s">
        <v>9</v>
      </c>
      <c r="D6" t="s">
        <v>10</v>
      </c>
      <c r="E6" s="1">
        <v>3</v>
      </c>
      <c r="F6" s="1">
        <v>90</v>
      </c>
      <c r="G6" t="s">
        <v>36</v>
      </c>
    </row>
    <row r="7" spans="1:7" x14ac:dyDescent="0.35">
      <c r="A7" s="5">
        <v>46127</v>
      </c>
      <c r="B7" s="1" t="s">
        <v>11</v>
      </c>
      <c r="C7" t="s">
        <v>12</v>
      </c>
      <c r="D7" t="s">
        <v>13</v>
      </c>
      <c r="E7" s="1">
        <v>1</v>
      </c>
      <c r="F7" s="1">
        <v>60</v>
      </c>
      <c r="G7" t="s">
        <v>43</v>
      </c>
    </row>
    <row r="8" spans="1:7" x14ac:dyDescent="0.35">
      <c r="A8" s="5">
        <v>46125</v>
      </c>
      <c r="B8" s="1" t="s">
        <v>19</v>
      </c>
      <c r="C8" t="s">
        <v>20</v>
      </c>
      <c r="D8" t="s">
        <v>13</v>
      </c>
      <c r="E8" s="1">
        <v>6</v>
      </c>
      <c r="F8" s="1">
        <v>360</v>
      </c>
      <c r="G8" t="s">
        <v>43</v>
      </c>
    </row>
    <row r="9" spans="1:7" x14ac:dyDescent="0.35">
      <c r="A9" s="5">
        <v>46097</v>
      </c>
      <c r="B9" s="1" t="s">
        <v>11</v>
      </c>
      <c r="C9" t="s">
        <v>14</v>
      </c>
      <c r="D9" t="s">
        <v>15</v>
      </c>
      <c r="E9" s="1">
        <v>5</v>
      </c>
      <c r="F9" s="1">
        <v>1250</v>
      </c>
      <c r="G9" t="s">
        <v>39</v>
      </c>
    </row>
    <row r="10" spans="1:7" x14ac:dyDescent="0.35">
      <c r="A10" s="5">
        <v>46123</v>
      </c>
      <c r="B10" s="1" t="s">
        <v>11</v>
      </c>
      <c r="C10" t="s">
        <v>16</v>
      </c>
      <c r="D10" t="s">
        <v>17</v>
      </c>
      <c r="E10" s="1">
        <v>4</v>
      </c>
      <c r="F10" s="1">
        <v>720</v>
      </c>
      <c r="G10" t="s">
        <v>40</v>
      </c>
    </row>
    <row r="11" spans="1:7" x14ac:dyDescent="0.35">
      <c r="A11" s="5">
        <v>46120</v>
      </c>
      <c r="B11" s="1" t="s">
        <v>8</v>
      </c>
      <c r="C11" t="s">
        <v>14</v>
      </c>
      <c r="D11" t="s">
        <v>18</v>
      </c>
      <c r="E11" s="1">
        <v>6</v>
      </c>
      <c r="F11" s="1">
        <v>5400</v>
      </c>
      <c r="G11" t="s">
        <v>34</v>
      </c>
    </row>
    <row r="12" spans="1:7" x14ac:dyDescent="0.35">
      <c r="A12" s="5">
        <v>46122</v>
      </c>
      <c r="B12" s="1" t="s">
        <v>5</v>
      </c>
      <c r="C12" t="s">
        <v>21</v>
      </c>
      <c r="D12" t="s">
        <v>17</v>
      </c>
      <c r="E12" s="1">
        <v>5</v>
      </c>
      <c r="F12" s="1">
        <v>900</v>
      </c>
      <c r="G12" t="s">
        <v>40</v>
      </c>
    </row>
    <row r="13" spans="1:7" x14ac:dyDescent="0.35">
      <c r="A13" s="5">
        <v>46173</v>
      </c>
      <c r="B13" s="1" t="s">
        <v>11</v>
      </c>
      <c r="C13" t="s">
        <v>9</v>
      </c>
      <c r="D13" t="s">
        <v>18</v>
      </c>
      <c r="E13" s="1">
        <v>6</v>
      </c>
      <c r="F13" s="1">
        <v>5400</v>
      </c>
      <c r="G13" t="s">
        <v>34</v>
      </c>
    </row>
    <row r="14" spans="1:7" x14ac:dyDescent="0.35">
      <c r="A14" s="5">
        <v>46027</v>
      </c>
      <c r="B14" s="1" t="s">
        <v>11</v>
      </c>
      <c r="C14" t="s">
        <v>14</v>
      </c>
      <c r="D14" t="s">
        <v>17</v>
      </c>
      <c r="E14" s="1">
        <v>3</v>
      </c>
      <c r="F14" s="1">
        <v>540</v>
      </c>
      <c r="G14" t="s">
        <v>40</v>
      </c>
    </row>
    <row r="15" spans="1:7" x14ac:dyDescent="0.35">
      <c r="A15" s="5">
        <v>46039</v>
      </c>
      <c r="B15" s="1" t="s">
        <v>19</v>
      </c>
      <c r="C15" t="s">
        <v>9</v>
      </c>
      <c r="D15" t="s">
        <v>10</v>
      </c>
      <c r="E15" s="1">
        <v>6</v>
      </c>
      <c r="F15" s="1">
        <v>180</v>
      </c>
      <c r="G15" t="s">
        <v>36</v>
      </c>
    </row>
    <row r="16" spans="1:7" x14ac:dyDescent="0.35">
      <c r="A16" s="5">
        <v>46122</v>
      </c>
      <c r="B16" s="1" t="s">
        <v>8</v>
      </c>
      <c r="C16" t="s">
        <v>22</v>
      </c>
      <c r="D16" t="s">
        <v>17</v>
      </c>
      <c r="E16" s="1">
        <v>6</v>
      </c>
      <c r="F16" s="1">
        <v>1080</v>
      </c>
      <c r="G16" t="s">
        <v>40</v>
      </c>
    </row>
    <row r="17" spans="1:7" x14ac:dyDescent="0.35">
      <c r="A17" s="5">
        <v>46139</v>
      </c>
      <c r="B17" s="1" t="s">
        <v>5</v>
      </c>
      <c r="C17" t="s">
        <v>22</v>
      </c>
      <c r="D17" t="s">
        <v>15</v>
      </c>
      <c r="E17" s="1">
        <v>2</v>
      </c>
      <c r="F17" s="1">
        <v>500</v>
      </c>
      <c r="G17" t="s">
        <v>39</v>
      </c>
    </row>
    <row r="18" spans="1:7" x14ac:dyDescent="0.35">
      <c r="A18" s="5">
        <v>46040</v>
      </c>
      <c r="B18" s="1" t="s">
        <v>19</v>
      </c>
      <c r="C18" t="s">
        <v>12</v>
      </c>
      <c r="D18" t="s">
        <v>17</v>
      </c>
      <c r="E18" s="1">
        <v>5</v>
      </c>
      <c r="F18" s="1">
        <v>900</v>
      </c>
      <c r="G18" t="s">
        <v>40</v>
      </c>
    </row>
    <row r="19" spans="1:7" x14ac:dyDescent="0.35">
      <c r="A19" s="5">
        <v>46091</v>
      </c>
      <c r="B19" s="1" t="s">
        <v>11</v>
      </c>
      <c r="C19" t="s">
        <v>6</v>
      </c>
      <c r="D19" t="s">
        <v>17</v>
      </c>
      <c r="E19" s="1">
        <v>2</v>
      </c>
      <c r="F19" s="1">
        <v>360</v>
      </c>
      <c r="G19" t="s">
        <v>40</v>
      </c>
    </row>
    <row r="20" spans="1:7" x14ac:dyDescent="0.35">
      <c r="A20" s="5">
        <v>46064</v>
      </c>
      <c r="B20" s="1" t="s">
        <v>5</v>
      </c>
      <c r="C20" t="s">
        <v>23</v>
      </c>
      <c r="D20" t="s">
        <v>10</v>
      </c>
      <c r="E20" s="1">
        <v>7</v>
      </c>
      <c r="F20" s="1">
        <v>210</v>
      </c>
      <c r="G20" t="s">
        <v>36</v>
      </c>
    </row>
    <row r="21" spans="1:7" x14ac:dyDescent="0.35">
      <c r="A21" s="5">
        <v>46171</v>
      </c>
      <c r="B21" s="1" t="s">
        <v>5</v>
      </c>
      <c r="C21" t="s">
        <v>21</v>
      </c>
      <c r="D21" t="s">
        <v>17</v>
      </c>
      <c r="E21" s="1">
        <v>5</v>
      </c>
      <c r="F21" s="1">
        <v>900</v>
      </c>
      <c r="G21" t="s">
        <v>40</v>
      </c>
    </row>
    <row r="22" spans="1:7" x14ac:dyDescent="0.35">
      <c r="A22" s="5">
        <v>46101</v>
      </c>
      <c r="B22" s="1" t="s">
        <v>19</v>
      </c>
      <c r="C22" t="s">
        <v>12</v>
      </c>
      <c r="D22" t="s">
        <v>24</v>
      </c>
      <c r="E22" s="1">
        <v>3</v>
      </c>
      <c r="F22" s="1">
        <v>240</v>
      </c>
      <c r="G22" t="s">
        <v>42</v>
      </c>
    </row>
    <row r="23" spans="1:7" x14ac:dyDescent="0.35">
      <c r="A23" s="5">
        <v>46155</v>
      </c>
      <c r="B23" s="1" t="s">
        <v>11</v>
      </c>
      <c r="C23" t="s">
        <v>14</v>
      </c>
      <c r="D23" t="s">
        <v>17</v>
      </c>
      <c r="E23" s="1">
        <v>6</v>
      </c>
      <c r="F23" s="1">
        <v>1080</v>
      </c>
      <c r="G23" t="s">
        <v>40</v>
      </c>
    </row>
    <row r="24" spans="1:7" x14ac:dyDescent="0.35">
      <c r="A24" s="5">
        <v>46044</v>
      </c>
      <c r="B24" s="1" t="s">
        <v>19</v>
      </c>
      <c r="C24" t="s">
        <v>12</v>
      </c>
      <c r="D24" t="s">
        <v>7</v>
      </c>
      <c r="E24" s="1">
        <v>4</v>
      </c>
      <c r="F24" s="1">
        <v>280</v>
      </c>
      <c r="G24" t="s">
        <v>38</v>
      </c>
    </row>
    <row r="25" spans="1:7" x14ac:dyDescent="0.35">
      <c r="A25" s="5">
        <v>46117</v>
      </c>
      <c r="B25" s="1" t="s">
        <v>11</v>
      </c>
      <c r="C25" t="s">
        <v>20</v>
      </c>
      <c r="D25" t="s">
        <v>17</v>
      </c>
      <c r="E25" s="1">
        <v>3</v>
      </c>
      <c r="F25" s="1">
        <v>540</v>
      </c>
      <c r="G25" t="s">
        <v>40</v>
      </c>
    </row>
    <row r="26" spans="1:7" x14ac:dyDescent="0.35">
      <c r="A26" s="5">
        <v>46093</v>
      </c>
      <c r="B26" s="1" t="s">
        <v>8</v>
      </c>
      <c r="C26" t="s">
        <v>25</v>
      </c>
      <c r="D26" t="s">
        <v>15</v>
      </c>
      <c r="E26" s="1">
        <v>7</v>
      </c>
      <c r="F26" s="1">
        <v>1750</v>
      </c>
      <c r="G26" t="s">
        <v>39</v>
      </c>
    </row>
    <row r="27" spans="1:7" x14ac:dyDescent="0.35">
      <c r="A27" s="5">
        <v>46158</v>
      </c>
      <c r="B27" s="1" t="s">
        <v>8</v>
      </c>
      <c r="C27" t="s">
        <v>6</v>
      </c>
      <c r="D27" t="s">
        <v>10</v>
      </c>
      <c r="E27" s="1">
        <v>4</v>
      </c>
      <c r="F27" s="1">
        <v>120</v>
      </c>
      <c r="G27" t="s">
        <v>36</v>
      </c>
    </row>
    <row r="28" spans="1:7" x14ac:dyDescent="0.35">
      <c r="A28" s="5">
        <v>46042</v>
      </c>
      <c r="B28" s="1" t="s">
        <v>19</v>
      </c>
      <c r="C28" t="s">
        <v>23</v>
      </c>
      <c r="D28" t="s">
        <v>10</v>
      </c>
      <c r="E28" s="1">
        <v>7</v>
      </c>
      <c r="F28" s="1">
        <v>210</v>
      </c>
      <c r="G28" t="s">
        <v>36</v>
      </c>
    </row>
    <row r="29" spans="1:7" x14ac:dyDescent="0.35">
      <c r="A29" s="5">
        <v>46036</v>
      </c>
      <c r="B29" s="1" t="s">
        <v>5</v>
      </c>
      <c r="C29" t="s">
        <v>22</v>
      </c>
      <c r="D29" t="s">
        <v>18</v>
      </c>
      <c r="E29" s="1">
        <v>4</v>
      </c>
      <c r="F29" s="1">
        <v>3600</v>
      </c>
      <c r="G29" t="s">
        <v>34</v>
      </c>
    </row>
    <row r="30" spans="1:7" x14ac:dyDescent="0.35">
      <c r="A30" s="5">
        <v>46092</v>
      </c>
      <c r="B30" s="1" t="s">
        <v>5</v>
      </c>
      <c r="C30" t="s">
        <v>22</v>
      </c>
      <c r="D30" t="s">
        <v>17</v>
      </c>
      <c r="E30" s="1">
        <v>8</v>
      </c>
      <c r="F30" s="1">
        <v>1440</v>
      </c>
      <c r="G30" t="s">
        <v>40</v>
      </c>
    </row>
    <row r="31" spans="1:7" x14ac:dyDescent="0.35">
      <c r="A31" s="5">
        <v>46049</v>
      </c>
      <c r="B31" s="1" t="s">
        <v>11</v>
      </c>
      <c r="C31" t="s">
        <v>23</v>
      </c>
      <c r="D31" t="s">
        <v>18</v>
      </c>
      <c r="E31" s="1">
        <v>7</v>
      </c>
      <c r="F31" s="1">
        <v>6300</v>
      </c>
      <c r="G31" t="s">
        <v>34</v>
      </c>
    </row>
    <row r="32" spans="1:7" x14ac:dyDescent="0.35">
      <c r="A32" s="5">
        <v>46038</v>
      </c>
      <c r="B32" s="1" t="s">
        <v>5</v>
      </c>
      <c r="C32" t="s">
        <v>14</v>
      </c>
      <c r="D32" t="s">
        <v>15</v>
      </c>
      <c r="E32" s="1">
        <v>2</v>
      </c>
      <c r="F32" s="1">
        <v>500</v>
      </c>
      <c r="G32" t="s">
        <v>39</v>
      </c>
    </row>
    <row r="33" spans="1:7" x14ac:dyDescent="0.35">
      <c r="A33" s="5">
        <v>46125</v>
      </c>
      <c r="B33" s="1" t="s">
        <v>5</v>
      </c>
      <c r="C33" t="s">
        <v>12</v>
      </c>
      <c r="D33" t="s">
        <v>24</v>
      </c>
      <c r="E33" s="1">
        <v>8</v>
      </c>
      <c r="F33" s="1">
        <v>640</v>
      </c>
      <c r="G33" t="s">
        <v>42</v>
      </c>
    </row>
    <row r="34" spans="1:7" x14ac:dyDescent="0.35">
      <c r="A34" s="5">
        <v>46140</v>
      </c>
      <c r="B34" s="1" t="s">
        <v>19</v>
      </c>
      <c r="C34" t="s">
        <v>26</v>
      </c>
      <c r="D34" t="s">
        <v>18</v>
      </c>
      <c r="E34" s="1">
        <v>3</v>
      </c>
      <c r="F34" s="1">
        <v>2700</v>
      </c>
      <c r="G34" t="s">
        <v>34</v>
      </c>
    </row>
    <row r="35" spans="1:7" x14ac:dyDescent="0.35">
      <c r="A35" s="5">
        <v>46078</v>
      </c>
      <c r="B35" s="1" t="s">
        <v>11</v>
      </c>
      <c r="C35" t="s">
        <v>26</v>
      </c>
      <c r="D35" t="s">
        <v>13</v>
      </c>
      <c r="E35" s="1">
        <v>7</v>
      </c>
      <c r="F35" s="1">
        <v>420</v>
      </c>
      <c r="G35" t="s">
        <v>43</v>
      </c>
    </row>
    <row r="36" spans="1:7" x14ac:dyDescent="0.35">
      <c r="A36" s="5">
        <v>46110</v>
      </c>
      <c r="B36" s="1" t="s">
        <v>19</v>
      </c>
      <c r="C36" t="s">
        <v>21</v>
      </c>
      <c r="D36" t="s">
        <v>18</v>
      </c>
      <c r="E36" s="1">
        <v>8</v>
      </c>
      <c r="F36" s="1">
        <v>7200</v>
      </c>
      <c r="G36" t="s">
        <v>34</v>
      </c>
    </row>
    <row r="37" spans="1:7" x14ac:dyDescent="0.35">
      <c r="A37" s="5">
        <v>46104</v>
      </c>
      <c r="B37" s="1" t="s">
        <v>19</v>
      </c>
      <c r="C37" t="s">
        <v>26</v>
      </c>
      <c r="D37" t="s">
        <v>10</v>
      </c>
      <c r="E37" s="1">
        <v>4</v>
      </c>
      <c r="F37" s="1">
        <v>120</v>
      </c>
      <c r="G37" t="s">
        <v>36</v>
      </c>
    </row>
    <row r="38" spans="1:7" x14ac:dyDescent="0.35">
      <c r="A38" s="5">
        <v>46170</v>
      </c>
      <c r="B38" s="1" t="s">
        <v>19</v>
      </c>
      <c r="C38" t="s">
        <v>25</v>
      </c>
      <c r="D38" t="s">
        <v>17</v>
      </c>
      <c r="E38" s="1">
        <v>4</v>
      </c>
      <c r="F38" s="1">
        <v>720</v>
      </c>
      <c r="G38" t="s">
        <v>40</v>
      </c>
    </row>
    <row r="39" spans="1:7" x14ac:dyDescent="0.35">
      <c r="A39" s="5">
        <v>46077</v>
      </c>
      <c r="B39" s="1" t="s">
        <v>5</v>
      </c>
      <c r="C39" t="s">
        <v>14</v>
      </c>
      <c r="D39" t="s">
        <v>7</v>
      </c>
      <c r="E39" s="1">
        <v>4</v>
      </c>
      <c r="F39" s="1">
        <v>280</v>
      </c>
      <c r="G39" t="s">
        <v>38</v>
      </c>
    </row>
    <row r="40" spans="1:7" x14ac:dyDescent="0.35">
      <c r="A40" s="5">
        <v>46126</v>
      </c>
      <c r="B40" s="1" t="s">
        <v>19</v>
      </c>
      <c r="C40" t="s">
        <v>14</v>
      </c>
      <c r="D40" t="s">
        <v>15</v>
      </c>
      <c r="E40" s="1">
        <v>6</v>
      </c>
      <c r="F40" s="1">
        <v>1500</v>
      </c>
      <c r="G40" t="s">
        <v>39</v>
      </c>
    </row>
    <row r="41" spans="1:7" x14ac:dyDescent="0.35">
      <c r="A41" s="5">
        <v>46026</v>
      </c>
      <c r="B41" s="1" t="s">
        <v>5</v>
      </c>
      <c r="C41" t="s">
        <v>6</v>
      </c>
      <c r="D41" t="s">
        <v>15</v>
      </c>
      <c r="E41" s="1">
        <v>1</v>
      </c>
      <c r="F41" s="1">
        <v>250</v>
      </c>
      <c r="G41" t="s">
        <v>39</v>
      </c>
    </row>
    <row r="42" spans="1:7" x14ac:dyDescent="0.35">
      <c r="A42" s="5">
        <v>46155</v>
      </c>
      <c r="B42" s="1" t="s">
        <v>19</v>
      </c>
      <c r="C42" t="s">
        <v>27</v>
      </c>
      <c r="D42" t="s">
        <v>28</v>
      </c>
      <c r="E42" s="1">
        <v>2</v>
      </c>
      <c r="F42" s="1">
        <v>900</v>
      </c>
      <c r="G42" t="s">
        <v>44</v>
      </c>
    </row>
    <row r="43" spans="1:7" x14ac:dyDescent="0.35">
      <c r="A43" s="5">
        <v>46157</v>
      </c>
      <c r="B43" s="1" t="s">
        <v>8</v>
      </c>
      <c r="C43" t="s">
        <v>20</v>
      </c>
      <c r="D43" t="s">
        <v>18</v>
      </c>
      <c r="E43" s="1">
        <v>3</v>
      </c>
      <c r="F43" s="1">
        <v>2700</v>
      </c>
      <c r="G43" t="s">
        <v>34</v>
      </c>
    </row>
    <row r="44" spans="1:7" x14ac:dyDescent="0.35">
      <c r="A44" s="5">
        <v>46110</v>
      </c>
      <c r="B44" s="1" t="s">
        <v>5</v>
      </c>
      <c r="C44" t="s">
        <v>14</v>
      </c>
      <c r="D44" t="s">
        <v>10</v>
      </c>
      <c r="E44" s="1">
        <v>5</v>
      </c>
      <c r="F44" s="1">
        <v>150</v>
      </c>
      <c r="G44" t="s">
        <v>36</v>
      </c>
    </row>
    <row r="45" spans="1:7" x14ac:dyDescent="0.35">
      <c r="A45" s="5">
        <v>46073</v>
      </c>
      <c r="B45" s="1" t="s">
        <v>11</v>
      </c>
      <c r="C45" t="s">
        <v>25</v>
      </c>
      <c r="D45" t="s">
        <v>17</v>
      </c>
      <c r="E45" s="1">
        <v>2</v>
      </c>
      <c r="F45" s="1">
        <v>360</v>
      </c>
      <c r="G45" t="s">
        <v>40</v>
      </c>
    </row>
    <row r="46" spans="1:7" x14ac:dyDescent="0.35">
      <c r="A46" s="5">
        <v>46161</v>
      </c>
      <c r="B46" s="1" t="s">
        <v>8</v>
      </c>
      <c r="C46" t="s">
        <v>29</v>
      </c>
      <c r="D46" t="s">
        <v>17</v>
      </c>
      <c r="E46" s="1">
        <v>5</v>
      </c>
      <c r="F46" s="1">
        <v>900</v>
      </c>
      <c r="G46" t="s">
        <v>40</v>
      </c>
    </row>
    <row r="47" spans="1:7" x14ac:dyDescent="0.35">
      <c r="A47" s="5">
        <v>46025</v>
      </c>
      <c r="B47" s="1" t="s">
        <v>5</v>
      </c>
      <c r="C47" t="s">
        <v>25</v>
      </c>
      <c r="D47" t="s">
        <v>7</v>
      </c>
      <c r="E47" s="1">
        <v>4</v>
      </c>
      <c r="F47" s="1">
        <v>3600</v>
      </c>
      <c r="G47" t="s">
        <v>38</v>
      </c>
    </row>
    <row r="48" spans="1:7" x14ac:dyDescent="0.35">
      <c r="A48" s="5">
        <v>46121</v>
      </c>
      <c r="B48" s="1" t="s">
        <v>8</v>
      </c>
      <c r="C48" t="s">
        <v>12</v>
      </c>
      <c r="D48" t="s">
        <v>17</v>
      </c>
      <c r="E48" s="1">
        <v>6</v>
      </c>
      <c r="F48" s="1">
        <v>1080</v>
      </c>
      <c r="G48" t="s">
        <v>40</v>
      </c>
    </row>
    <row r="49" spans="1:7" x14ac:dyDescent="0.35">
      <c r="A49" s="5">
        <v>46030</v>
      </c>
      <c r="B49" s="1" t="s">
        <v>8</v>
      </c>
      <c r="C49" t="s">
        <v>12</v>
      </c>
      <c r="D49" t="s">
        <v>10</v>
      </c>
      <c r="E49" s="1">
        <v>6</v>
      </c>
      <c r="F49" s="1">
        <v>180</v>
      </c>
      <c r="G49" t="s">
        <v>36</v>
      </c>
    </row>
    <row r="50" spans="1:7" x14ac:dyDescent="0.35">
      <c r="A50" s="5">
        <v>46149</v>
      </c>
      <c r="B50" s="1" t="s">
        <v>8</v>
      </c>
      <c r="C50" t="s">
        <v>16</v>
      </c>
      <c r="D50" t="s">
        <v>7</v>
      </c>
      <c r="E50" s="1">
        <v>7</v>
      </c>
      <c r="F50" s="1">
        <v>490</v>
      </c>
      <c r="G50" t="s">
        <v>38</v>
      </c>
    </row>
    <row r="51" spans="1:7" x14ac:dyDescent="0.35">
      <c r="A51" s="5">
        <v>46077</v>
      </c>
      <c r="B51" s="1" t="s">
        <v>5</v>
      </c>
      <c r="C51" t="s">
        <v>29</v>
      </c>
      <c r="D51" t="s">
        <v>7</v>
      </c>
      <c r="E51" s="1">
        <v>8</v>
      </c>
      <c r="F51" s="1">
        <v>560</v>
      </c>
      <c r="G51" t="s">
        <v>38</v>
      </c>
    </row>
    <row r="52" spans="1:7" x14ac:dyDescent="0.35">
      <c r="A52" s="5">
        <v>46079</v>
      </c>
      <c r="B52" s="1" t="s">
        <v>11</v>
      </c>
      <c r="C52" t="s">
        <v>14</v>
      </c>
      <c r="D52" t="s">
        <v>24</v>
      </c>
      <c r="E52" s="1">
        <v>5</v>
      </c>
      <c r="F52" s="1">
        <v>400</v>
      </c>
      <c r="G52" t="s">
        <v>42</v>
      </c>
    </row>
    <row r="53" spans="1:7" x14ac:dyDescent="0.35">
      <c r="A53" s="5">
        <v>46044</v>
      </c>
      <c r="B53" s="1" t="s">
        <v>5</v>
      </c>
      <c r="C53" t="s">
        <v>6</v>
      </c>
      <c r="D53" t="s">
        <v>10</v>
      </c>
      <c r="E53" s="1">
        <v>6</v>
      </c>
      <c r="F53" s="1">
        <v>180</v>
      </c>
      <c r="G53" t="s">
        <v>36</v>
      </c>
    </row>
    <row r="54" spans="1:7" x14ac:dyDescent="0.35">
      <c r="A54" s="5">
        <v>46041</v>
      </c>
      <c r="B54" s="1" t="s">
        <v>5</v>
      </c>
      <c r="C54" t="s">
        <v>16</v>
      </c>
      <c r="D54" t="s">
        <v>17</v>
      </c>
      <c r="E54" s="1">
        <v>3</v>
      </c>
      <c r="F54" s="1">
        <v>540</v>
      </c>
      <c r="G54" t="s">
        <v>40</v>
      </c>
    </row>
    <row r="55" spans="1:7" x14ac:dyDescent="0.35">
      <c r="A55" s="5">
        <v>46041</v>
      </c>
      <c r="B55" s="1" t="s">
        <v>19</v>
      </c>
      <c r="C55" t="s">
        <v>26</v>
      </c>
      <c r="D55" t="s">
        <v>24</v>
      </c>
      <c r="E55" s="1">
        <v>7</v>
      </c>
      <c r="F55" s="1">
        <v>560</v>
      </c>
      <c r="G55" t="s">
        <v>42</v>
      </c>
    </row>
    <row r="56" spans="1:7" x14ac:dyDescent="0.35">
      <c r="A56" s="5">
        <v>46063</v>
      </c>
      <c r="B56" s="1" t="s">
        <v>5</v>
      </c>
      <c r="C56" t="s">
        <v>16</v>
      </c>
      <c r="D56" t="s">
        <v>15</v>
      </c>
      <c r="E56" s="1">
        <v>8</v>
      </c>
      <c r="F56" s="1">
        <v>2000</v>
      </c>
      <c r="G56" t="s">
        <v>39</v>
      </c>
    </row>
    <row r="57" spans="1:7" x14ac:dyDescent="0.35">
      <c r="A57" s="5">
        <v>46026</v>
      </c>
      <c r="B57" s="1" t="s">
        <v>19</v>
      </c>
      <c r="C57" t="s">
        <v>6</v>
      </c>
      <c r="D57" t="s">
        <v>10</v>
      </c>
      <c r="E57" s="1">
        <v>4</v>
      </c>
      <c r="F57" s="1"/>
      <c r="G57" t="s">
        <v>36</v>
      </c>
    </row>
    <row r="58" spans="1:7" x14ac:dyDescent="0.35">
      <c r="A58" s="5">
        <v>46133</v>
      </c>
      <c r="B58" s="1" t="s">
        <v>11</v>
      </c>
      <c r="C58" t="s">
        <v>26</v>
      </c>
      <c r="D58" t="s">
        <v>24</v>
      </c>
      <c r="E58" s="1">
        <v>5</v>
      </c>
      <c r="F58" s="1">
        <v>400</v>
      </c>
      <c r="G58" t="s">
        <v>42</v>
      </c>
    </row>
    <row r="59" spans="1:7" x14ac:dyDescent="0.35">
      <c r="A59" s="5">
        <v>46077</v>
      </c>
      <c r="B59" s="1" t="s">
        <v>5</v>
      </c>
      <c r="C59" t="s">
        <v>16</v>
      </c>
      <c r="D59" t="s">
        <v>13</v>
      </c>
      <c r="E59" s="1">
        <v>4</v>
      </c>
      <c r="F59" s="1">
        <v>240</v>
      </c>
      <c r="G59" t="s">
        <v>43</v>
      </c>
    </row>
    <row r="60" spans="1:7" x14ac:dyDescent="0.35">
      <c r="A60" s="5">
        <v>46161</v>
      </c>
      <c r="B60" s="1" t="s">
        <v>5</v>
      </c>
      <c r="C60" t="s">
        <v>22</v>
      </c>
      <c r="D60" t="s">
        <v>28</v>
      </c>
      <c r="E60" s="1">
        <v>1</v>
      </c>
      <c r="F60" s="1">
        <v>450</v>
      </c>
      <c r="G60" t="s">
        <v>44</v>
      </c>
    </row>
    <row r="61" spans="1:7" x14ac:dyDescent="0.35">
      <c r="A61" s="5">
        <v>46152</v>
      </c>
      <c r="B61" s="1" t="s">
        <v>5</v>
      </c>
      <c r="C61" t="s">
        <v>30</v>
      </c>
      <c r="D61" t="s">
        <v>18</v>
      </c>
      <c r="E61" s="1">
        <v>6</v>
      </c>
      <c r="F61" s="1">
        <v>5400</v>
      </c>
      <c r="G61" t="s">
        <v>34</v>
      </c>
    </row>
    <row r="62" spans="1:7" x14ac:dyDescent="0.35">
      <c r="A62" s="5">
        <v>46126</v>
      </c>
      <c r="B62" s="1" t="s">
        <v>19</v>
      </c>
      <c r="C62" t="s">
        <v>20</v>
      </c>
      <c r="D62" t="s">
        <v>10</v>
      </c>
      <c r="E62" s="1">
        <v>1</v>
      </c>
      <c r="F62" s="1">
        <v>30</v>
      </c>
      <c r="G62" t="s">
        <v>36</v>
      </c>
    </row>
    <row r="63" spans="1:7" x14ac:dyDescent="0.35">
      <c r="A63" s="5">
        <v>46067</v>
      </c>
      <c r="B63" s="1" t="s">
        <v>8</v>
      </c>
      <c r="C63" t="s">
        <v>25</v>
      </c>
      <c r="D63" t="s">
        <v>18</v>
      </c>
      <c r="E63" s="1">
        <v>6</v>
      </c>
      <c r="F63" s="1">
        <v>5400</v>
      </c>
      <c r="G63" t="s">
        <v>34</v>
      </c>
    </row>
    <row r="64" spans="1:7" x14ac:dyDescent="0.35">
      <c r="A64" s="5">
        <v>46100</v>
      </c>
      <c r="B64" s="1" t="s">
        <v>19</v>
      </c>
      <c r="C64" t="s">
        <v>16</v>
      </c>
      <c r="D64" t="s">
        <v>10</v>
      </c>
      <c r="E64" s="1">
        <v>3</v>
      </c>
      <c r="F64" s="1">
        <v>90</v>
      </c>
      <c r="G64" t="s">
        <v>36</v>
      </c>
    </row>
    <row r="65" spans="1:7" x14ac:dyDescent="0.35">
      <c r="A65" s="5">
        <v>46054</v>
      </c>
      <c r="B65" s="1" t="s">
        <v>19</v>
      </c>
      <c r="C65" t="s">
        <v>30</v>
      </c>
      <c r="D65" t="s">
        <v>13</v>
      </c>
      <c r="E65" s="1">
        <v>6</v>
      </c>
      <c r="F65" s="1">
        <v>360</v>
      </c>
      <c r="G65" t="s">
        <v>43</v>
      </c>
    </row>
    <row r="66" spans="1:7" x14ac:dyDescent="0.35">
      <c r="A66" s="5">
        <v>46116</v>
      </c>
      <c r="B66" s="1" t="s">
        <v>19</v>
      </c>
      <c r="C66" t="s">
        <v>16</v>
      </c>
      <c r="D66" t="s">
        <v>24</v>
      </c>
      <c r="E66" s="1">
        <v>1</v>
      </c>
      <c r="F66" s="1">
        <v>80</v>
      </c>
      <c r="G66" t="s">
        <v>42</v>
      </c>
    </row>
    <row r="67" spans="1:7" x14ac:dyDescent="0.35">
      <c r="A67" s="5">
        <v>46077</v>
      </c>
      <c r="B67" s="1" t="s">
        <v>19</v>
      </c>
      <c r="C67" t="s">
        <v>27</v>
      </c>
      <c r="D67" t="s">
        <v>13</v>
      </c>
      <c r="E67" s="1">
        <v>6</v>
      </c>
      <c r="F67" s="1">
        <v>360</v>
      </c>
      <c r="G67" t="s">
        <v>43</v>
      </c>
    </row>
    <row r="68" spans="1:7" x14ac:dyDescent="0.35">
      <c r="A68" s="5">
        <v>46029</v>
      </c>
      <c r="B68" s="1" t="s">
        <v>19</v>
      </c>
      <c r="C68" t="s">
        <v>25</v>
      </c>
      <c r="D68" t="s">
        <v>28</v>
      </c>
      <c r="E68" s="1">
        <v>6</v>
      </c>
      <c r="F68" s="1">
        <v>2700</v>
      </c>
      <c r="G68" t="s">
        <v>44</v>
      </c>
    </row>
    <row r="69" spans="1:7" x14ac:dyDescent="0.35">
      <c r="A69" s="5">
        <v>46029</v>
      </c>
      <c r="B69" s="1" t="s">
        <v>11</v>
      </c>
      <c r="C69" t="s">
        <v>22</v>
      </c>
      <c r="D69" t="s">
        <v>17</v>
      </c>
      <c r="E69" s="1">
        <v>4</v>
      </c>
      <c r="F69" s="1">
        <v>720</v>
      </c>
      <c r="G69" t="s">
        <v>40</v>
      </c>
    </row>
    <row r="70" spans="1:7" x14ac:dyDescent="0.35">
      <c r="A70" s="5">
        <v>46042</v>
      </c>
      <c r="B70" s="1" t="s">
        <v>19</v>
      </c>
      <c r="C70" t="s">
        <v>21</v>
      </c>
      <c r="D70" t="s">
        <v>28</v>
      </c>
      <c r="E70" s="1">
        <v>5</v>
      </c>
      <c r="F70" s="1">
        <v>2250</v>
      </c>
      <c r="G70" t="s">
        <v>44</v>
      </c>
    </row>
    <row r="71" spans="1:7" x14ac:dyDescent="0.35">
      <c r="A71" s="5">
        <v>46156</v>
      </c>
      <c r="B71" s="1" t="s">
        <v>8</v>
      </c>
      <c r="C71" t="s">
        <v>23</v>
      </c>
      <c r="D71" t="s">
        <v>15</v>
      </c>
      <c r="E71" s="1">
        <v>6</v>
      </c>
      <c r="F71" s="1">
        <v>1500</v>
      </c>
      <c r="G71" t="s">
        <v>39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CA5F5-7AAB-46CD-B16F-555481A6409E}">
  <dimension ref="A1:D9"/>
  <sheetViews>
    <sheetView workbookViewId="0">
      <selection activeCell="E15" sqref="E15"/>
    </sheetView>
  </sheetViews>
  <sheetFormatPr defaultRowHeight="14.5" x14ac:dyDescent="0.35"/>
  <cols>
    <col min="1" max="1" width="11.54296875" customWidth="1"/>
    <col min="2" max="2" width="9.36328125" customWidth="1"/>
    <col min="3" max="3" width="10.1796875" customWidth="1"/>
    <col min="4" max="4" width="15.08984375" customWidth="1"/>
  </cols>
  <sheetData>
    <row r="1" spans="1:4" x14ac:dyDescent="0.35">
      <c r="A1" t="s">
        <v>31</v>
      </c>
      <c r="B1" t="s">
        <v>2</v>
      </c>
      <c r="C1" t="s">
        <v>32</v>
      </c>
      <c r="D1" t="s">
        <v>33</v>
      </c>
    </row>
    <row r="2" spans="1:4" x14ac:dyDescent="0.35">
      <c r="A2" t="s">
        <v>34</v>
      </c>
      <c r="B2" t="s">
        <v>18</v>
      </c>
      <c r="C2" t="s">
        <v>35</v>
      </c>
      <c r="D2">
        <v>900</v>
      </c>
    </row>
    <row r="3" spans="1:4" x14ac:dyDescent="0.35">
      <c r="A3" t="s">
        <v>36</v>
      </c>
      <c r="B3" t="s">
        <v>10</v>
      </c>
      <c r="C3" t="s">
        <v>37</v>
      </c>
      <c r="D3">
        <v>30</v>
      </c>
    </row>
    <row r="4" spans="1:4" x14ac:dyDescent="0.35">
      <c r="A4" t="s">
        <v>38</v>
      </c>
      <c r="B4" t="s">
        <v>7</v>
      </c>
      <c r="C4" t="s">
        <v>37</v>
      </c>
      <c r="D4">
        <v>70</v>
      </c>
    </row>
    <row r="5" spans="1:4" x14ac:dyDescent="0.35">
      <c r="A5" t="s">
        <v>39</v>
      </c>
      <c r="B5" t="s">
        <v>15</v>
      </c>
      <c r="C5" t="s">
        <v>35</v>
      </c>
      <c r="D5">
        <v>250</v>
      </c>
    </row>
    <row r="6" spans="1:4" x14ac:dyDescent="0.35">
      <c r="A6" t="s">
        <v>40</v>
      </c>
      <c r="B6" t="s">
        <v>17</v>
      </c>
      <c r="C6" t="s">
        <v>41</v>
      </c>
      <c r="D6">
        <v>180</v>
      </c>
    </row>
    <row r="7" spans="1:4" x14ac:dyDescent="0.35">
      <c r="A7" t="s">
        <v>42</v>
      </c>
      <c r="B7" t="s">
        <v>24</v>
      </c>
      <c r="C7" t="s">
        <v>37</v>
      </c>
      <c r="D7">
        <v>80</v>
      </c>
    </row>
    <row r="8" spans="1:4" x14ac:dyDescent="0.35">
      <c r="A8" t="s">
        <v>43</v>
      </c>
      <c r="B8" t="s">
        <v>13</v>
      </c>
      <c r="C8" t="s">
        <v>37</v>
      </c>
      <c r="D8">
        <v>60</v>
      </c>
    </row>
    <row r="9" spans="1:4" x14ac:dyDescent="0.35">
      <c r="A9" t="s">
        <v>44</v>
      </c>
      <c r="B9" t="s">
        <v>28</v>
      </c>
      <c r="C9" t="s">
        <v>35</v>
      </c>
      <c r="D9">
        <v>450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E7BF7-A034-4CBC-9218-E493231A2E9D}">
  <dimension ref="B3:L14"/>
  <sheetViews>
    <sheetView workbookViewId="0">
      <selection activeCell="B3" sqref="B3"/>
    </sheetView>
  </sheetViews>
  <sheetFormatPr defaultRowHeight="14.5" x14ac:dyDescent="0.35"/>
  <cols>
    <col min="2" max="2" width="14.81640625" bestFit="1" customWidth="1"/>
    <col min="3" max="3" width="16.6328125" bestFit="1" customWidth="1"/>
    <col min="4" max="4" width="9.81640625" bestFit="1" customWidth="1"/>
    <col min="5" max="10" width="1.81640625" bestFit="1" customWidth="1"/>
    <col min="11" max="11" width="14.81640625" bestFit="1" customWidth="1"/>
    <col min="12" max="12" width="20.54296875" bestFit="1" customWidth="1"/>
  </cols>
  <sheetData>
    <row r="3" spans="2:12" x14ac:dyDescent="0.35">
      <c r="B3" s="2" t="s">
        <v>32</v>
      </c>
      <c r="C3" t="s">
        <v>48</v>
      </c>
      <c r="D3" t="s">
        <v>49</v>
      </c>
      <c r="K3" s="2" t="s">
        <v>32</v>
      </c>
      <c r="L3" t="s">
        <v>51</v>
      </c>
    </row>
    <row r="4" spans="2:12" x14ac:dyDescent="0.35">
      <c r="B4" s="3" t="s">
        <v>37</v>
      </c>
      <c r="C4">
        <v>11450</v>
      </c>
      <c r="D4">
        <v>8250</v>
      </c>
      <c r="K4" s="3" t="s">
        <v>37</v>
      </c>
      <c r="L4" s="4">
        <v>394.82758620689657</v>
      </c>
    </row>
    <row r="5" spans="2:12" x14ac:dyDescent="0.35">
      <c r="B5" s="3" t="s">
        <v>35</v>
      </c>
      <c r="C5">
        <v>73150</v>
      </c>
      <c r="D5">
        <v>73150</v>
      </c>
      <c r="K5" s="3" t="s">
        <v>35</v>
      </c>
      <c r="L5" s="4">
        <v>3047.9166666666665</v>
      </c>
    </row>
    <row r="6" spans="2:12" x14ac:dyDescent="0.35">
      <c r="B6" s="3" t="s">
        <v>41</v>
      </c>
      <c r="C6">
        <v>12780</v>
      </c>
      <c r="D6">
        <v>12780</v>
      </c>
      <c r="K6" s="3" t="s">
        <v>41</v>
      </c>
      <c r="L6">
        <v>798.75</v>
      </c>
    </row>
    <row r="7" spans="2:12" x14ac:dyDescent="0.35">
      <c r="B7" s="3" t="s">
        <v>47</v>
      </c>
      <c r="C7">
        <v>97380</v>
      </c>
      <c r="D7">
        <v>94180</v>
      </c>
      <c r="K7" s="3" t="s">
        <v>47</v>
      </c>
      <c r="L7">
        <v>1411.304347826087</v>
      </c>
    </row>
    <row r="10" spans="2:12" x14ac:dyDescent="0.35">
      <c r="B10" s="2" t="s">
        <v>32</v>
      </c>
      <c r="C10" t="s">
        <v>50</v>
      </c>
    </row>
    <row r="11" spans="2:12" x14ac:dyDescent="0.35">
      <c r="B11" s="3" t="s">
        <v>37</v>
      </c>
      <c r="C11">
        <v>150</v>
      </c>
    </row>
    <row r="12" spans="2:12" x14ac:dyDescent="0.35">
      <c r="B12" s="3" t="s">
        <v>35</v>
      </c>
      <c r="C12">
        <v>115</v>
      </c>
    </row>
    <row r="13" spans="2:12" x14ac:dyDescent="0.35">
      <c r="B13" s="3" t="s">
        <v>41</v>
      </c>
      <c r="C13">
        <v>71</v>
      </c>
    </row>
    <row r="14" spans="2:12" x14ac:dyDescent="0.35">
      <c r="B14" s="3" t="s">
        <v>47</v>
      </c>
      <c r="C14">
        <v>336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6DFF2-594E-4A04-A957-04D756C00538}">
  <dimension ref="A3:J19"/>
  <sheetViews>
    <sheetView workbookViewId="0">
      <selection activeCell="A3" sqref="A3"/>
    </sheetView>
  </sheetViews>
  <sheetFormatPr defaultRowHeight="14.5" x14ac:dyDescent="0.35"/>
  <cols>
    <col min="1" max="1" width="10.36328125" bestFit="1" customWidth="1"/>
    <col min="2" max="2" width="9.81640625" bestFit="1" customWidth="1"/>
    <col min="4" max="5" width="9.81640625" bestFit="1" customWidth="1"/>
    <col min="7" max="7" width="9.7265625" bestFit="1" customWidth="1"/>
    <col min="8" max="8" width="10.36328125" bestFit="1" customWidth="1"/>
    <col min="9" max="9" width="9.81640625" bestFit="1" customWidth="1"/>
    <col min="10" max="10" width="10.81640625" bestFit="1" customWidth="1"/>
    <col min="11" max="13" width="8.26953125" bestFit="1" customWidth="1"/>
    <col min="14" max="21" width="9.26953125" bestFit="1" customWidth="1"/>
    <col min="22" max="22" width="8.26953125" bestFit="1" customWidth="1"/>
    <col min="23" max="37" width="9.26953125" bestFit="1" customWidth="1"/>
    <col min="38" max="42" width="8.26953125" bestFit="1" customWidth="1"/>
    <col min="43" max="51" width="9.26953125" bestFit="1" customWidth="1"/>
    <col min="52" max="52" width="8.26953125" bestFit="1" customWidth="1"/>
    <col min="53" max="62" width="9.26953125" bestFit="1" customWidth="1"/>
    <col min="63" max="63" width="10.36328125" bestFit="1" customWidth="1"/>
  </cols>
  <sheetData>
    <row r="3" spans="1:10" x14ac:dyDescent="0.35">
      <c r="A3" s="2" t="s">
        <v>1</v>
      </c>
      <c r="B3" t="s">
        <v>49</v>
      </c>
      <c r="D3" s="2" t="s">
        <v>2</v>
      </c>
      <c r="E3" t="s">
        <v>49</v>
      </c>
      <c r="H3" s="2" t="s">
        <v>57</v>
      </c>
      <c r="I3" t="s">
        <v>49</v>
      </c>
      <c r="J3" t="s">
        <v>60</v>
      </c>
    </row>
    <row r="4" spans="1:10" x14ac:dyDescent="0.35">
      <c r="A4" s="3" t="s">
        <v>11</v>
      </c>
      <c r="B4">
        <v>23950</v>
      </c>
      <c r="D4" s="3" t="s">
        <v>10</v>
      </c>
      <c r="E4">
        <v>1680</v>
      </c>
      <c r="H4" s="3" t="s">
        <v>52</v>
      </c>
      <c r="I4">
        <v>25690</v>
      </c>
      <c r="J4" s="6">
        <v>0.27277553620726269</v>
      </c>
    </row>
    <row r="5" spans="1:10" x14ac:dyDescent="0.35">
      <c r="A5" s="3" t="s">
        <v>19</v>
      </c>
      <c r="B5">
        <v>29060</v>
      </c>
      <c r="D5" s="3" t="s">
        <v>13</v>
      </c>
      <c r="E5">
        <v>1800</v>
      </c>
      <c r="H5" s="3" t="s">
        <v>53</v>
      </c>
      <c r="I5">
        <v>10590</v>
      </c>
      <c r="J5" s="6">
        <v>0.1124442556806116</v>
      </c>
    </row>
    <row r="6" spans="1:10" x14ac:dyDescent="0.35">
      <c r="A6" s="3" t="s">
        <v>8</v>
      </c>
      <c r="B6">
        <v>20690</v>
      </c>
      <c r="D6" s="3" t="s">
        <v>24</v>
      </c>
      <c r="E6">
        <v>2320</v>
      </c>
      <c r="H6" s="3" t="s">
        <v>54</v>
      </c>
      <c r="I6">
        <v>12600</v>
      </c>
      <c r="J6" s="6">
        <v>0.13378636653217243</v>
      </c>
    </row>
    <row r="7" spans="1:10" x14ac:dyDescent="0.35">
      <c r="A7" s="3" t="s">
        <v>5</v>
      </c>
      <c r="B7">
        <v>20480</v>
      </c>
      <c r="D7" s="3" t="s">
        <v>7</v>
      </c>
      <c r="E7">
        <v>2450</v>
      </c>
      <c r="H7" s="3" t="s">
        <v>55</v>
      </c>
      <c r="I7">
        <v>17540</v>
      </c>
      <c r="J7" s="6">
        <v>0.18623911658526227</v>
      </c>
    </row>
    <row r="8" spans="1:10" x14ac:dyDescent="0.35">
      <c r="A8" s="3" t="s">
        <v>47</v>
      </c>
      <c r="B8" s="8">
        <v>94180</v>
      </c>
      <c r="D8" s="3" t="s">
        <v>28</v>
      </c>
      <c r="E8">
        <v>6300</v>
      </c>
      <c r="H8" s="3" t="s">
        <v>56</v>
      </c>
      <c r="I8">
        <v>27760</v>
      </c>
      <c r="J8" s="6">
        <v>0.29475472499469102</v>
      </c>
    </row>
    <row r="9" spans="1:10" x14ac:dyDescent="0.35">
      <c r="D9" s="3" t="s">
        <v>15</v>
      </c>
      <c r="E9">
        <v>9250</v>
      </c>
      <c r="H9" s="3" t="s">
        <v>47</v>
      </c>
      <c r="I9">
        <v>94180</v>
      </c>
      <c r="J9" s="6">
        <v>1</v>
      </c>
    </row>
    <row r="10" spans="1:10" x14ac:dyDescent="0.35">
      <c r="D10" s="3" t="s">
        <v>17</v>
      </c>
      <c r="E10">
        <v>12780</v>
      </c>
    </row>
    <row r="11" spans="1:10" x14ac:dyDescent="0.35">
      <c r="D11" s="3" t="s">
        <v>18</v>
      </c>
      <c r="E11">
        <v>57600</v>
      </c>
    </row>
    <row r="12" spans="1:10" x14ac:dyDescent="0.35">
      <c r="D12" s="3" t="s">
        <v>47</v>
      </c>
      <c r="E12">
        <v>94180</v>
      </c>
      <c r="G12" t="s">
        <v>50</v>
      </c>
    </row>
    <row r="13" spans="1:10" x14ac:dyDescent="0.35">
      <c r="G13">
        <v>336</v>
      </c>
    </row>
    <row r="14" spans="1:10" x14ac:dyDescent="0.35">
      <c r="A14" t="s">
        <v>49</v>
      </c>
      <c r="B14">
        <f>GETPIVOTDATA("[Measures].[Total Sales]",$A$3)</f>
        <v>94180</v>
      </c>
    </row>
    <row r="15" spans="1:10" x14ac:dyDescent="0.35">
      <c r="A15" t="s">
        <v>58</v>
      </c>
      <c r="B15">
        <f>GETPIVOTDATA("[Measures].[Total Quantity Sold]",$G$12)</f>
        <v>336</v>
      </c>
      <c r="G15" t="s">
        <v>51</v>
      </c>
    </row>
    <row r="16" spans="1:10" x14ac:dyDescent="0.35">
      <c r="A16" t="s">
        <v>51</v>
      </c>
      <c r="B16" s="7">
        <f>GETPIVOTDATA("[Measures].[Average Sales per Order]",$G$15)</f>
        <v>1411.304347826087</v>
      </c>
      <c r="G16" s="4">
        <v>1411.304347826087</v>
      </c>
    </row>
    <row r="17" spans="1:7" x14ac:dyDescent="0.35">
      <c r="A17" t="s">
        <v>59</v>
      </c>
      <c r="B17">
        <f>GETPIVOTDATA("[Measures].[Categories]",$G$18)</f>
        <v>3</v>
      </c>
    </row>
    <row r="18" spans="1:7" x14ac:dyDescent="0.35">
      <c r="G18" t="s">
        <v>61</v>
      </c>
    </row>
    <row r="19" spans="1:7" x14ac:dyDescent="0.35">
      <c r="G19">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7118C-DC85-4C8E-B1A8-71AA79D79F61}">
  <dimension ref="A1"/>
  <sheetViews>
    <sheetView showGridLines="0" tabSelected="1" zoomScale="90" zoomScaleNormal="90" workbookViewId="0">
      <selection activeCell="T14" sqref="T14"/>
    </sheetView>
  </sheetViews>
  <sheetFormatPr defaultRowHeight="14.5" x14ac:dyDescent="0.35"/>
  <cols>
    <col min="1" max="6" width="8.7265625" style="9"/>
    <col min="7" max="7" width="8.7265625" style="9" customWidth="1"/>
    <col min="8"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6CF2A007-4B8F-45E6-9B78-AA5F7D19D416}">
  <ds:schemaRefs/>
</ds:datastoreItem>
</file>

<file path=customXml/itemProps2.xml><?xml version="1.0" encoding="utf-8"?>
<ds:datastoreItem xmlns:ds="http://schemas.openxmlformats.org/officeDocument/2006/customXml" ds:itemID="{B3BD2E45-FC71-4E16-A3B7-99E0827E8C6C}">
  <ds:schemaRefs/>
</ds:datastoreItem>
</file>

<file path=customXml/itemProps3.xml><?xml version="1.0" encoding="utf-8"?>
<ds:datastoreItem xmlns:ds="http://schemas.openxmlformats.org/officeDocument/2006/customXml" ds:itemID="{411067B5-2C0D-4250-8B4A-ECFBB825E50C}">
  <ds:schemaRefs/>
</ds:datastoreItem>
</file>

<file path=customXml/itemProps4.xml><?xml version="1.0" encoding="utf-8"?>
<ds:datastoreItem xmlns:ds="http://schemas.openxmlformats.org/officeDocument/2006/customXml" ds:itemID="{EFD991A3-14E9-4920-9D05-C654604AFD46}">
  <ds:schemaRefs/>
</ds:datastoreItem>
</file>

<file path=customXml/itemProps5.xml><?xml version="1.0" encoding="utf-8"?>
<ds:datastoreItem xmlns:ds="http://schemas.openxmlformats.org/officeDocument/2006/customXml" ds:itemID="{EFB63361-5832-465F-8076-01132AEC0838}">
  <ds:schemaRefs/>
</ds:datastoreItem>
</file>

<file path=customXml/itemProps6.xml><?xml version="1.0" encoding="utf-8"?>
<ds:datastoreItem xmlns:ds="http://schemas.openxmlformats.org/officeDocument/2006/customXml" ds:itemID="{21294E97-BC70-4292-AA06-426E8E198EA0}">
  <ds:schemaRefs/>
</ds:datastoreItem>
</file>

<file path=customXml/itemProps7.xml><?xml version="1.0" encoding="utf-8"?>
<ds:datastoreItem xmlns:ds="http://schemas.openxmlformats.org/officeDocument/2006/customXml" ds:itemID="{4FCBB775-5C74-4135-8E44-D7195D0C2AFE}">
  <ds:schemaRefs/>
</ds:datastoreItem>
</file>

<file path=customXml/itemProps8.xml><?xml version="1.0" encoding="utf-8"?>
<ds:datastoreItem xmlns:ds="http://schemas.openxmlformats.org/officeDocument/2006/customXml" ds:itemID="{8CFE79EF-78D8-4CCB-AD38-2CAFBB9B5706}">
  <ds:schemaRefs/>
</ds:datastoreItem>
</file>

<file path=customXml/itemProps9.xml><?xml version="1.0" encoding="utf-8"?>
<ds:datastoreItem xmlns:ds="http://schemas.openxmlformats.org/officeDocument/2006/customXml" ds:itemID="{4CE6E06F-DDD8-4DCD-A947-DD0A12DEA67D}">
  <ds:schemaRefs/>
</ds:datastoreItem>
</file>

<file path=customXml/itemProps10.xml><?xml version="1.0" encoding="utf-8"?>
<ds:datastoreItem xmlns:ds="http://schemas.openxmlformats.org/officeDocument/2006/customXml" ds:itemID="{6C5FB5AD-2C5D-4BBA-ADEB-1AEF68B144EF}">
  <ds:schemaRefs/>
</ds:datastoreItem>
</file>

<file path=customXml/itemProps11.xml><?xml version="1.0" encoding="utf-8"?>
<ds:datastoreItem xmlns:ds="http://schemas.openxmlformats.org/officeDocument/2006/customXml" ds:itemID="{99169DA8-8541-4993-8305-128DD2027013}">
  <ds:schemaRefs/>
</ds:datastoreItem>
</file>

<file path=customXml/itemProps12.xml><?xml version="1.0" encoding="utf-8"?>
<ds:datastoreItem xmlns:ds="http://schemas.openxmlformats.org/officeDocument/2006/customXml" ds:itemID="{D2536419-837E-426B-837A-FABCDAF5CD4F}">
  <ds:schemaRefs/>
</ds:datastoreItem>
</file>

<file path=customXml/itemProps13.xml><?xml version="1.0" encoding="utf-8"?>
<ds:datastoreItem xmlns:ds="http://schemas.openxmlformats.org/officeDocument/2006/customXml" ds:itemID="{C3915159-E311-4036-B233-6241C1570592}">
  <ds:schemaRefs/>
</ds:datastoreItem>
</file>

<file path=customXml/itemProps14.xml><?xml version="1.0" encoding="utf-8"?>
<ds:datastoreItem xmlns:ds="http://schemas.openxmlformats.org/officeDocument/2006/customXml" ds:itemID="{65F5E37F-EBAD-4033-BCE2-B68457CF7B93}">
  <ds:schemaRefs/>
</ds:datastoreItem>
</file>

<file path=customXml/itemProps15.xml><?xml version="1.0" encoding="utf-8"?>
<ds:datastoreItem xmlns:ds="http://schemas.openxmlformats.org/officeDocument/2006/customXml" ds:itemID="{94785F87-B819-4D16-900E-DA74254A5D2B}">
  <ds:schemaRefs/>
</ds:datastoreItem>
</file>

<file path=customXml/itemProps16.xml><?xml version="1.0" encoding="utf-8"?>
<ds:datastoreItem xmlns:ds="http://schemas.openxmlformats.org/officeDocument/2006/customXml" ds:itemID="{C8D9024F-A9C8-43B8-B0FE-3C412DE21CA8}">
  <ds:schemaRefs/>
</ds:datastoreItem>
</file>

<file path=customXml/itemProps17.xml><?xml version="1.0" encoding="utf-8"?>
<ds:datastoreItem xmlns:ds="http://schemas.openxmlformats.org/officeDocument/2006/customXml" ds:itemID="{95DCDCA7-39AE-470C-85A9-066C530712C1}">
  <ds:schemaRefs/>
</ds:datastoreItem>
</file>

<file path=customXml/itemProps18.xml><?xml version="1.0" encoding="utf-8"?>
<ds:datastoreItem xmlns:ds="http://schemas.openxmlformats.org/officeDocument/2006/customXml" ds:itemID="{32360633-6598-4E8F-915A-FE0C3287A953}">
  <ds:schemaRefs/>
</ds:datastoreItem>
</file>

<file path=customXml/itemProps19.xml><?xml version="1.0" encoding="utf-8"?>
<ds:datastoreItem xmlns:ds="http://schemas.openxmlformats.org/officeDocument/2006/customXml" ds:itemID="{217A7C4C-9ABC-4B74-B6C5-D56EEEEC8B23}">
  <ds:schemaRefs>
    <ds:schemaRef ds:uri="http://schemas.microsoft.com/DataMashup"/>
  </ds:schemaRefs>
</ds:datastoreItem>
</file>

<file path=customXml/itemProps20.xml><?xml version="1.0" encoding="utf-8"?>
<ds:datastoreItem xmlns:ds="http://schemas.openxmlformats.org/officeDocument/2006/customXml" ds:itemID="{A2366C70-4FC9-4DD0-BB32-6F2A897E9F5A}">
  <ds:schemaRefs/>
</ds:datastoreItem>
</file>

<file path=customXml/itemProps21.xml><?xml version="1.0" encoding="utf-8"?>
<ds:datastoreItem xmlns:ds="http://schemas.openxmlformats.org/officeDocument/2006/customXml" ds:itemID="{20FA7D95-673B-4D55-8FA9-31029D5651F3}">
  <ds:schemaRefs/>
</ds:datastoreItem>
</file>

<file path=customXml/itemProps22.xml><?xml version="1.0" encoding="utf-8"?>
<ds:datastoreItem xmlns:ds="http://schemas.openxmlformats.org/officeDocument/2006/customXml" ds:itemID="{79628E1B-2D8A-4AF3-A9E3-11954A04407B}">
  <ds:schemaRefs/>
</ds:datastoreItem>
</file>

<file path=customXml/itemProps23.xml><?xml version="1.0" encoding="utf-8"?>
<ds:datastoreItem xmlns:ds="http://schemas.openxmlformats.org/officeDocument/2006/customXml" ds:itemID="{3B7F00EE-C981-4B4C-9187-AD3626586371}">
  <ds:schemaRefs/>
</ds:datastoreItem>
</file>

<file path=customXml/itemProps24.xml><?xml version="1.0" encoding="utf-8"?>
<ds:datastoreItem xmlns:ds="http://schemas.openxmlformats.org/officeDocument/2006/customXml" ds:itemID="{A72F3C28-5673-430B-8FE0-965F92DF2ACC}">
  <ds:schemaRefs/>
</ds:datastoreItem>
</file>

<file path=customXml/itemProps25.xml><?xml version="1.0" encoding="utf-8"?>
<ds:datastoreItem xmlns:ds="http://schemas.openxmlformats.org/officeDocument/2006/customXml" ds:itemID="{11E43CEE-6640-420F-87F2-37C41E0B1E74}">
  <ds:schemaRefs/>
</ds:datastoreItem>
</file>

<file path=customXml/itemProps26.xml><?xml version="1.0" encoding="utf-8"?>
<ds:datastoreItem xmlns:ds="http://schemas.openxmlformats.org/officeDocument/2006/customXml" ds:itemID="{371D6F61-468E-4929-9239-6B614DB39648}">
  <ds:schemaRefs/>
</ds:datastoreItem>
</file>

<file path=customXml/itemProps27.xml><?xml version="1.0" encoding="utf-8"?>
<ds:datastoreItem xmlns:ds="http://schemas.openxmlformats.org/officeDocument/2006/customXml" ds:itemID="{255207BA-DA6E-4DD4-A128-8AB40FAF205D}">
  <ds:schemaRefs/>
</ds:datastoreItem>
</file>

<file path=customXml/itemProps28.xml><?xml version="1.0" encoding="utf-8"?>
<ds:datastoreItem xmlns:ds="http://schemas.openxmlformats.org/officeDocument/2006/customXml" ds:itemID="{7CDEDFBE-8D5A-4948-8B99-0E813DE0E077}">
  <ds:schemaRefs/>
</ds:datastoreItem>
</file>

<file path=customXml/itemProps29.xml><?xml version="1.0" encoding="utf-8"?>
<ds:datastoreItem xmlns:ds="http://schemas.openxmlformats.org/officeDocument/2006/customXml" ds:itemID="{52BBC9FB-F94A-4830-A640-44BC88089B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Product</vt:lpstr>
      <vt:lpstr>DAX Measures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Rafijul Himel</dc:creator>
  <cp:lastModifiedBy>Rafijul Himel</cp:lastModifiedBy>
  <dcterms:created xsi:type="dcterms:W3CDTF">2026-06-24T10:19:10Z</dcterms:created>
  <dcterms:modified xsi:type="dcterms:W3CDTF">2026-09-03T07:34:26Z</dcterms:modified>
</cp:coreProperties>
</file>